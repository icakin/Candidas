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threadedComments/threadedComment3.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threadedComments/threadedComment4.xml" ContentType="application/vnd.ms-excel.threaded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filterPrivacy="1" codeName="ThisWorkbook" defaultThemeVersion="166925"/>
  <xr:revisionPtr revIDLastSave="0" documentId="13_ncr:1_{75ABB9DD-9E2C-49F8-904F-D74893BC5B8F}" xr6:coauthVersionLast="47" xr6:coauthVersionMax="47" xr10:uidLastSave="{00000000-0000-0000-0000-000000000000}"/>
  <bookViews>
    <workbookView xWindow="1440" yWindow="84" windowWidth="35268" windowHeight="19812" activeTab="1" xr2:uid="{1B7E5460-D5B0-4AA0-81A2-8690A2ACC254}"/>
  </bookViews>
  <sheets>
    <sheet name="Read Me" sheetId="38" r:id="rId1"/>
    <sheet name="Genomes and temp DB" sheetId="26" r:id="rId2"/>
    <sheet name="Temperature of growth model" sheetId="10" r:id="rId3"/>
    <sheet name="References" sheetId="36" r:id="rId4"/>
    <sheet name="Togashi complete" sheetId="37" r:id="rId5"/>
  </sheets>
  <definedNames>
    <definedName name="_xleta.AVERAGE" hidden="1" xlm="1">#NAME?</definedName>
    <definedName name="_xleta.CONCATENATE" hidden="1" xlm="1">#NAME?</definedName>
    <definedName name="_xleta.IF" hidden="1" xlm="1">#NAME?</definedName>
    <definedName name="help" localSheetId="1">'Genomes and temp DB'!#REF!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 i="10" l="1"/>
  <c r="D503" i="26"/>
  <c r="E360" i="26" l="1"/>
  <c r="D360" i="26"/>
  <c r="I15" i="10" l="1"/>
  <c r="I14" i="10"/>
  <c r="I13" i="10"/>
  <c r="I12" i="10"/>
  <c r="I11" i="10"/>
  <c r="I10" i="10"/>
  <c r="J10" i="10" l="1"/>
  <c r="K10" i="10"/>
  <c r="E683" i="26"/>
  <c r="D683" i="26"/>
  <c r="E588" i="26" l="1"/>
  <c r="D588" i="26"/>
  <c r="E553" i="26" l="1"/>
  <c r="D553" i="26"/>
  <c r="E527" i="26" l="1"/>
  <c r="F527" i="26"/>
  <c r="D527" i="26"/>
  <c r="E514" i="26"/>
  <c r="D514" i="26"/>
  <c r="E397" i="26"/>
  <c r="E380" i="26"/>
  <c r="D380" i="26"/>
  <c r="E265" i="26"/>
  <c r="D265" i="26"/>
  <c r="E262" i="26"/>
  <c r="D262" i="26"/>
  <c r="E232" i="26"/>
  <c r="F172" i="26"/>
  <c r="D172" i="26"/>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E135" i="26"/>
  <c r="D135" i="26"/>
  <c r="E91" i="26"/>
  <c r="D91" i="26"/>
  <c r="E49" i="26"/>
  <c r="D49" i="26"/>
  <c r="E47" i="26"/>
  <c r="D47" i="26"/>
  <c r="E43" i="26"/>
  <c r="D43" i="26"/>
  <c r="F581" i="26"/>
  <c r="E581" i="26"/>
  <c r="D581" i="26"/>
  <c r="E11" i="26"/>
  <c r="E491" i="26"/>
  <c r="D491" i="26"/>
  <c r="E525" i="26"/>
  <c r="K14" i="10"/>
  <c r="K13" i="10"/>
  <c r="K12" i="10"/>
  <c r="K11" i="10"/>
  <c r="K21" i="10"/>
  <c r="K20" i="10"/>
  <c r="K19" i="10"/>
  <c r="K18" i="10"/>
  <c r="K17" i="10"/>
  <c r="K16" i="10"/>
  <c r="K15" i="10"/>
  <c r="E644" i="26"/>
  <c r="D644" i="26"/>
  <c r="E286" i="26"/>
  <c r="D286" i="26"/>
  <c r="L10" i="10"/>
  <c r="M10" i="10" s="1"/>
  <c r="E66" i="26"/>
  <c r="D66" i="26"/>
  <c r="D16" i="26"/>
  <c r="E16" i="26"/>
  <c r="D26" i="26"/>
  <c r="E26" i="26"/>
  <c r="E733" i="26"/>
  <c r="D733" i="26"/>
  <c r="E729" i="26"/>
  <c r="D729" i="26"/>
  <c r="E719" i="26"/>
  <c r="D719" i="26"/>
  <c r="E716" i="26"/>
  <c r="D716" i="26"/>
  <c r="E691" i="26"/>
  <c r="D691" i="26"/>
  <c r="E690" i="26"/>
  <c r="D690" i="26"/>
  <c r="E688" i="26"/>
  <c r="D688" i="26"/>
  <c r="E689" i="26"/>
  <c r="D689" i="26"/>
  <c r="E684" i="26"/>
  <c r="D684" i="26"/>
  <c r="E670" i="26"/>
  <c r="D670" i="26"/>
  <c r="E618" i="26"/>
  <c r="D618" i="26"/>
  <c r="E608" i="26"/>
  <c r="D608" i="26"/>
  <c r="E594" i="26"/>
  <c r="D594" i="26"/>
  <c r="E589" i="26"/>
  <c r="D589" i="26"/>
  <c r="E587" i="26"/>
  <c r="D587" i="26"/>
  <c r="E575" i="26"/>
  <c r="D575" i="26"/>
  <c r="E564" i="26"/>
  <c r="D564" i="26"/>
  <c r="E556" i="26"/>
  <c r="D556" i="26"/>
  <c r="E558" i="26"/>
  <c r="D558" i="26"/>
  <c r="E554" i="26"/>
  <c r="D554" i="26"/>
  <c r="E686" i="26"/>
  <c r="D686" i="26"/>
  <c r="E542" i="26"/>
  <c r="D542" i="26"/>
  <c r="E541" i="26"/>
  <c r="D541" i="26"/>
  <c r="E539" i="26"/>
  <c r="D539" i="26"/>
  <c r="E607" i="26"/>
  <c r="D607" i="26"/>
  <c r="E335" i="26"/>
  <c r="D335" i="26"/>
  <c r="E511" i="26"/>
  <c r="D511" i="26"/>
  <c r="E506" i="26"/>
  <c r="D506" i="26"/>
  <c r="E503" i="26"/>
  <c r="D490" i="26"/>
  <c r="E485" i="26"/>
  <c r="D485" i="26"/>
  <c r="E484" i="26"/>
  <c r="D484" i="26"/>
  <c r="E482" i="26"/>
  <c r="D482" i="26"/>
  <c r="E479" i="26"/>
  <c r="D479" i="26"/>
  <c r="E477" i="26"/>
  <c r="D477" i="26"/>
  <c r="E475" i="26"/>
  <c r="D475" i="26"/>
  <c r="E470" i="26"/>
  <c r="D470" i="26"/>
  <c r="E453" i="26"/>
  <c r="D453" i="26"/>
  <c r="D438" i="26"/>
  <c r="E433" i="26"/>
  <c r="D433" i="26"/>
  <c r="E426" i="26"/>
  <c r="D426" i="26"/>
  <c r="E415" i="26"/>
  <c r="D415" i="26"/>
  <c r="E414" i="26"/>
  <c r="D414" i="26"/>
  <c r="E355" i="26"/>
  <c r="D355" i="26"/>
  <c r="E320" i="26"/>
  <c r="E460" i="26"/>
  <c r="E285" i="26"/>
  <c r="D285" i="26"/>
  <c r="E282" i="26"/>
  <c r="D282" i="26"/>
  <c r="E274" i="26"/>
  <c r="D274" i="26"/>
  <c r="E247" i="26"/>
  <c r="D247" i="26"/>
  <c r="E243" i="26"/>
  <c r="D243" i="26"/>
  <c r="E220" i="26"/>
  <c r="D220" i="26"/>
  <c r="E213" i="26"/>
  <c r="D213" i="26"/>
  <c r="E158" i="26"/>
  <c r="D158" i="26"/>
  <c r="E156" i="26"/>
  <c r="D156" i="26"/>
  <c r="E140" i="26"/>
  <c r="D140" i="26"/>
  <c r="E340" i="26"/>
  <c r="D340" i="26"/>
  <c r="E104" i="26"/>
  <c r="D104" i="26"/>
  <c r="E97" i="26"/>
  <c r="D97" i="26"/>
  <c r="E734" i="26"/>
  <c r="D734" i="26"/>
  <c r="E159" i="26"/>
  <c r="D159" i="26"/>
  <c r="E79" i="26"/>
  <c r="D79" i="26"/>
  <c r="E73" i="26"/>
  <c r="D73" i="26"/>
  <c r="C25" i="10"/>
  <c r="J15" i="10"/>
  <c r="J14" i="10"/>
  <c r="J13" i="10"/>
  <c r="J12" i="10"/>
  <c r="J11" i="10"/>
  <c r="R17" i="10"/>
  <c r="R16" i="10"/>
  <c r="R15" i="10"/>
  <c r="R22" i="10"/>
  <c r="O6" i="10"/>
  <c r="F6" i="10" s="1"/>
  <c r="O5" i="10"/>
  <c r="F5" i="10" s="1"/>
  <c r="O4" i="10"/>
  <c r="F4" i="10" s="1"/>
  <c r="O2" i="10"/>
  <c r="F2" i="10" s="1"/>
  <c r="J21" i="10"/>
  <c r="J20" i="10"/>
  <c r="J19" i="10"/>
  <c r="J18" i="10"/>
  <c r="J17" i="10"/>
  <c r="J16" i="10"/>
  <c r="I8" i="10"/>
  <c r="C10" i="10"/>
  <c r="L4" i="10"/>
  <c r="O3" i="10"/>
  <c r="F3" i="10" s="1"/>
  <c r="R21" i="10"/>
  <c r="R20" i="10"/>
  <c r="R19" i="10"/>
  <c r="R18" i="10"/>
  <c r="R14" i="10"/>
  <c r="R13" i="10"/>
  <c r="R12" i="10"/>
  <c r="R11" i="10"/>
  <c r="R10" i="10"/>
  <c r="B11" i="10"/>
  <c r="L11" i="10"/>
  <c r="N11" i="10" s="1"/>
  <c r="C11" i="10"/>
  <c r="B12" i="10"/>
  <c r="L12" i="10"/>
  <c r="N12" i="10" s="1"/>
  <c r="C12" i="10"/>
  <c r="B13" i="10"/>
  <c r="L13" i="10"/>
  <c r="M13" i="10" s="1"/>
  <c r="C13" i="10"/>
  <c r="B14" i="10"/>
  <c r="L14" i="10"/>
  <c r="M14" i="10" s="1"/>
  <c r="C14" i="10"/>
  <c r="B15" i="10"/>
  <c r="L15" i="10"/>
  <c r="M15" i="10" s="1"/>
  <c r="C15" i="10"/>
  <c r="B16" i="10"/>
  <c r="L16" i="10"/>
  <c r="M16" i="10" s="1"/>
  <c r="C16" i="10"/>
  <c r="B17" i="10"/>
  <c r="L17" i="10"/>
  <c r="M17" i="10" s="1"/>
  <c r="C17" i="10"/>
  <c r="B18" i="10"/>
  <c r="L18" i="10"/>
  <c r="M18" i="10" s="1"/>
  <c r="C18" i="10"/>
  <c r="B19" i="10"/>
  <c r="L19" i="10"/>
  <c r="M19" i="10" s="1"/>
  <c r="C19" i="10"/>
  <c r="B20" i="10"/>
  <c r="L20" i="10"/>
  <c r="M20" i="10" s="1"/>
  <c r="C20" i="10"/>
  <c r="B21" i="10"/>
  <c r="L21" i="10"/>
  <c r="M21" i="10" s="1"/>
  <c r="C21" i="10"/>
  <c r="B22" i="10"/>
  <c r="L22" i="10"/>
  <c r="M22" i="10" s="1"/>
  <c r="C22" i="10"/>
  <c r="B23" i="10"/>
  <c r="L23" i="10"/>
  <c r="M23" i="10" s="1"/>
  <c r="C23" i="10"/>
  <c r="B24" i="10"/>
  <c r="L24" i="10"/>
  <c r="C24" i="10"/>
  <c r="L25" i="10"/>
  <c r="M25" i="10" s="1"/>
  <c r="L26" i="10"/>
  <c r="N26" i="10" s="1"/>
  <c r="C26" i="10"/>
  <c r="L27" i="10"/>
  <c r="M27" i="10" s="1"/>
  <c r="C27" i="10"/>
  <c r="L28" i="10"/>
  <c r="M28" i="10" s="1"/>
  <c r="C28" i="10"/>
  <c r="L29" i="10"/>
  <c r="M29" i="10" s="1"/>
  <c r="C29" i="10"/>
  <c r="L30" i="10"/>
  <c r="M30" i="10" s="1"/>
  <c r="C30" i="10"/>
  <c r="L31" i="10"/>
  <c r="C31" i="10"/>
  <c r="L32" i="10"/>
  <c r="M32" i="10" s="1"/>
  <c r="C32" i="10"/>
  <c r="L33" i="10"/>
  <c r="C33" i="10"/>
  <c r="L34" i="10"/>
  <c r="C34" i="10"/>
  <c r="L35" i="10"/>
  <c r="C35" i="10"/>
  <c r="L36" i="10"/>
  <c r="M36" i="10" s="1"/>
  <c r="C36" i="10"/>
  <c r="L37" i="10"/>
  <c r="C37" i="10"/>
  <c r="L38" i="10"/>
  <c r="N38" i="10" s="1"/>
  <c r="C38" i="10"/>
  <c r="L39" i="10"/>
  <c r="C39" i="10"/>
  <c r="L40" i="10"/>
  <c r="M40" i="10" s="1"/>
  <c r="C40" i="10"/>
  <c r="L41" i="10"/>
  <c r="M41" i="10" s="1"/>
  <c r="C41" i="10"/>
  <c r="L42" i="10"/>
  <c r="N42" i="10" s="1"/>
  <c r="C42" i="10"/>
  <c r="L43" i="10"/>
  <c r="M43" i="10" s="1"/>
  <c r="C43" i="10"/>
  <c r="L44" i="10"/>
  <c r="C44" i="10"/>
  <c r="L45" i="10"/>
  <c r="M45" i="10" s="1"/>
  <c r="C45" i="10"/>
  <c r="L46" i="10"/>
  <c r="C46" i="10"/>
  <c r="L47" i="10"/>
  <c r="M47" i="10" s="1"/>
  <c r="C47" i="10"/>
  <c r="L48" i="10"/>
  <c r="M48" i="10" s="1"/>
  <c r="C48" i="10"/>
  <c r="L49" i="10"/>
  <c r="M49" i="10" s="1"/>
  <c r="C49" i="10"/>
  <c r="L50" i="10"/>
  <c r="N50" i="10" s="1"/>
  <c r="C50" i="10"/>
  <c r="L51" i="10"/>
  <c r="N51" i="10" s="1"/>
  <c r="C51" i="10"/>
  <c r="L52" i="10"/>
  <c r="M52" i="10" s="1"/>
  <c r="C52" i="10"/>
  <c r="L53" i="10"/>
  <c r="M53" i="10" s="1"/>
  <c r="C53" i="10"/>
  <c r="L54" i="10"/>
  <c r="M54" i="10" s="1"/>
  <c r="C54" i="10"/>
  <c r="L55" i="10"/>
  <c r="M55" i="10" s="1"/>
  <c r="C55" i="10"/>
  <c r="L56" i="10"/>
  <c r="M56" i="10" s="1"/>
  <c r="C56" i="10"/>
  <c r="L57" i="10"/>
  <c r="N57" i="10" s="1"/>
  <c r="C57" i="10"/>
  <c r="L58" i="10"/>
  <c r="M58" i="10" s="1"/>
  <c r="C58" i="10"/>
  <c r="L59" i="10"/>
  <c r="M59" i="10" s="1"/>
  <c r="C59" i="10"/>
  <c r="L60" i="10"/>
  <c r="N60" i="10" s="1"/>
  <c r="C60" i="10"/>
  <c r="L61" i="10"/>
  <c r="M61" i="10" s="1"/>
  <c r="C61" i="10"/>
  <c r="L62" i="10"/>
  <c r="M62" i="10" s="1"/>
  <c r="C62" i="10"/>
  <c r="L63" i="10"/>
  <c r="N63" i="10" s="1"/>
  <c r="C63" i="10"/>
  <c r="L64" i="10"/>
  <c r="M64" i="10" s="1"/>
  <c r="C64" i="10"/>
  <c r="L65" i="10"/>
  <c r="N65" i="10" s="1"/>
  <c r="C65" i="10"/>
  <c r="L66" i="10"/>
  <c r="N66" i="10" s="1"/>
  <c r="C66" i="10"/>
  <c r="L67" i="10"/>
  <c r="M67" i="10" s="1"/>
  <c r="C67" i="10"/>
  <c r="L68" i="10"/>
  <c r="N68" i="10" s="1"/>
  <c r="C68" i="10"/>
  <c r="L69" i="10"/>
  <c r="N69" i="10" s="1"/>
  <c r="C69" i="10"/>
  <c r="L70" i="10"/>
  <c r="N70" i="10" s="1"/>
  <c r="C70" i="10"/>
  <c r="L71" i="10"/>
  <c r="M71" i="10" s="1"/>
  <c r="C71" i="10"/>
  <c r="L72" i="10"/>
  <c r="N72" i="10" s="1"/>
  <c r="C72" i="10"/>
  <c r="L73" i="10"/>
  <c r="N73" i="10" s="1"/>
  <c r="C73" i="10"/>
  <c r="L74" i="10"/>
  <c r="M74" i="10" s="1"/>
  <c r="C74" i="10"/>
  <c r="L75" i="10"/>
  <c r="N75" i="10" s="1"/>
  <c r="C75" i="10"/>
  <c r="L76" i="10"/>
  <c r="M76" i="10" s="1"/>
  <c r="C76" i="10"/>
  <c r="L77" i="10"/>
  <c r="M77" i="10" s="1"/>
  <c r="C77" i="10"/>
  <c r="L78" i="10"/>
  <c r="N78" i="10" s="1"/>
  <c r="C78" i="10"/>
  <c r="L79" i="10"/>
  <c r="N79" i="10" s="1"/>
  <c r="C79" i="10"/>
  <c r="L80" i="10"/>
  <c r="N80" i="10" s="1"/>
  <c r="C80" i="10"/>
  <c r="L81" i="10"/>
  <c r="N81" i="10" s="1"/>
  <c r="C81" i="10"/>
  <c r="L82" i="10"/>
  <c r="M82" i="10" s="1"/>
  <c r="C82" i="10"/>
  <c r="L83" i="10"/>
  <c r="N83" i="10" s="1"/>
  <c r="C83" i="10"/>
  <c r="L84" i="10"/>
  <c r="M84" i="10" s="1"/>
  <c r="C84" i="10"/>
  <c r="L85" i="10"/>
  <c r="N85" i="10" s="1"/>
  <c r="C85" i="10"/>
  <c r="L86" i="10"/>
  <c r="M86" i="10" s="1"/>
  <c r="C86" i="10"/>
  <c r="L87" i="10"/>
  <c r="M87" i="10" s="1"/>
  <c r="C87" i="10"/>
  <c r="L88" i="10"/>
  <c r="M88" i="10" s="1"/>
  <c r="C88" i="10"/>
  <c r="L89" i="10"/>
  <c r="N89" i="10" s="1"/>
  <c r="C89" i="10"/>
  <c r="L90" i="10"/>
  <c r="N90" i="10" s="1"/>
  <c r="C90" i="10"/>
  <c r="B5" i="10"/>
  <c r="D37" i="10" s="1"/>
  <c r="N13" i="10"/>
  <c r="N45" i="10"/>
  <c r="D737" i="26" l="1"/>
  <c r="M33" i="10"/>
  <c r="M31" i="10"/>
  <c r="M24" i="10"/>
  <c r="N25" i="10"/>
  <c r="N36" i="10"/>
  <c r="M34" i="10"/>
  <c r="N23" i="10"/>
  <c r="M46" i="10"/>
  <c r="M39" i="10"/>
  <c r="D27" i="10"/>
  <c r="E27" i="10" s="1"/>
  <c r="D75" i="10"/>
  <c r="E75" i="10" s="1"/>
  <c r="D67" i="10"/>
  <c r="E67" i="10" s="1"/>
  <c r="M44" i="10"/>
  <c r="D72" i="10"/>
  <c r="E72" i="10" s="1"/>
  <c r="D43" i="10"/>
  <c r="E43" i="10" s="1"/>
  <c r="D22" i="10"/>
  <c r="E22" i="10" s="1"/>
  <c r="D44" i="10"/>
  <c r="E44" i="10" s="1"/>
  <c r="D46" i="10"/>
  <c r="E46" i="10" s="1"/>
  <c r="E37" i="10"/>
  <c r="D32" i="10"/>
  <c r="E32" i="10" s="1"/>
  <c r="D38" i="10"/>
  <c r="E38" i="10" s="1"/>
  <c r="D13" i="10"/>
  <c r="E13" i="10" s="1"/>
  <c r="D68" i="10"/>
  <c r="E68" i="10" s="1"/>
  <c r="D41" i="10"/>
  <c r="E41" i="10" s="1"/>
  <c r="D48" i="10"/>
  <c r="E48" i="10" s="1"/>
  <c r="D52" i="10"/>
  <c r="E52" i="10" s="1"/>
  <c r="D26" i="10"/>
  <c r="E26" i="10" s="1"/>
  <c r="D35" i="10"/>
  <c r="E35" i="10" s="1"/>
  <c r="D79" i="10"/>
  <c r="E79" i="10" s="1"/>
  <c r="D71" i="10"/>
  <c r="E71" i="10" s="1"/>
  <c r="D66" i="10"/>
  <c r="E66" i="10" s="1"/>
  <c r="D69" i="10"/>
  <c r="E69" i="10" s="1"/>
  <c r="D40" i="10"/>
  <c r="E40" i="10" s="1"/>
  <c r="D29" i="10"/>
  <c r="E29" i="10" s="1"/>
  <c r="D31" i="10"/>
  <c r="E31" i="10" s="1"/>
  <c r="D20" i="10"/>
  <c r="E20" i="10" s="1"/>
  <c r="D84" i="10"/>
  <c r="E84" i="10" s="1"/>
  <c r="D60" i="10"/>
  <c r="E60" i="10" s="1"/>
  <c r="D65" i="10"/>
  <c r="E65" i="10" s="1"/>
  <c r="D61" i="10"/>
  <c r="E61" i="10" s="1"/>
  <c r="D33" i="10"/>
  <c r="E33" i="10" s="1"/>
  <c r="D54" i="10"/>
  <c r="E54" i="10" s="1"/>
  <c r="D82" i="10"/>
  <c r="E82" i="10" s="1"/>
  <c r="D87" i="10"/>
  <c r="E87" i="10" s="1"/>
  <c r="D17" i="10"/>
  <c r="E17" i="10" s="1"/>
  <c r="D56" i="10"/>
  <c r="E56" i="10" s="1"/>
  <c r="D76" i="10"/>
  <c r="E76" i="10" s="1"/>
  <c r="D77" i="10"/>
  <c r="E77" i="10" s="1"/>
  <c r="D89" i="10"/>
  <c r="E89" i="10" s="1"/>
  <c r="D34" i="10"/>
  <c r="E34" i="10" s="1"/>
  <c r="D51" i="10"/>
  <c r="E51" i="10" s="1"/>
  <c r="D74" i="10"/>
  <c r="E74" i="10" s="1"/>
  <c r="D21" i="10"/>
  <c r="E21" i="10" s="1"/>
  <c r="D86" i="10"/>
  <c r="E86" i="10" s="1"/>
  <c r="D80" i="10"/>
  <c r="E80" i="10" s="1"/>
  <c r="D23" i="10"/>
  <c r="E23" i="10" s="1"/>
  <c r="D25" i="10"/>
  <c r="E25" i="10" s="1"/>
  <c r="D88" i="10"/>
  <c r="E88" i="10" s="1"/>
  <c r="D24" i="10"/>
  <c r="E24" i="10" s="1"/>
  <c r="D49" i="10"/>
  <c r="E49" i="10" s="1"/>
  <c r="D28" i="10"/>
  <c r="E28" i="10" s="1"/>
  <c r="D47" i="10"/>
  <c r="E47" i="10" s="1"/>
  <c r="D57" i="10"/>
  <c r="E57" i="10" s="1"/>
  <c r="D19" i="10"/>
  <c r="E19" i="10" s="1"/>
  <c r="D53" i="10"/>
  <c r="E53" i="10" s="1"/>
  <c r="D30" i="10"/>
  <c r="E30" i="10" s="1"/>
  <c r="D36" i="10"/>
  <c r="E36" i="10" s="1"/>
  <c r="D39" i="10"/>
  <c r="E39" i="10" s="1"/>
  <c r="D70" i="10"/>
  <c r="E70" i="10" s="1"/>
  <c r="D45" i="10"/>
  <c r="E45" i="10" s="1"/>
  <c r="D59" i="10"/>
  <c r="E59" i="10" s="1"/>
  <c r="D15" i="10"/>
  <c r="E15" i="10" s="1"/>
  <c r="D50" i="10"/>
  <c r="E50" i="10" s="1"/>
  <c r="D81" i="10"/>
  <c r="E81" i="10" s="1"/>
  <c r="D63" i="10"/>
  <c r="E63" i="10" s="1"/>
  <c r="D83" i="10"/>
  <c r="E83" i="10" s="1"/>
  <c r="D18" i="10"/>
  <c r="E18" i="10" s="1"/>
  <c r="D14" i="10"/>
  <c r="E14" i="10" s="1"/>
  <c r="D62" i="10"/>
  <c r="E62" i="10" s="1"/>
  <c r="D12" i="10"/>
  <c r="E12" i="10" s="1"/>
  <c r="D78" i="10"/>
  <c r="E78" i="10" s="1"/>
  <c r="D16" i="10"/>
  <c r="E16" i="10" s="1"/>
  <c r="D85" i="10"/>
  <c r="E85" i="10" s="1"/>
  <c r="D73" i="10"/>
  <c r="E73" i="10" s="1"/>
  <c r="D11" i="10"/>
  <c r="E11" i="10" s="1"/>
  <c r="D64" i="10"/>
  <c r="E64" i="10" s="1"/>
  <c r="D10" i="10"/>
  <c r="E10" i="10" s="1"/>
  <c r="D58" i="10"/>
  <c r="E58" i="10" s="1"/>
  <c r="D55" i="10"/>
  <c r="E55" i="10" s="1"/>
  <c r="D90" i="10"/>
  <c r="E90" i="10" s="1"/>
  <c r="D42" i="10"/>
  <c r="E42" i="10" s="1"/>
  <c r="N54" i="10"/>
  <c r="N52" i="10"/>
  <c r="N10" i="10"/>
  <c r="N19" i="10"/>
  <c r="N28" i="10"/>
  <c r="N55" i="10"/>
  <c r="M68" i="10"/>
  <c r="N15" i="10"/>
  <c r="N86" i="10"/>
  <c r="N30" i="10"/>
  <c r="M66" i="10"/>
  <c r="M73" i="10"/>
  <c r="N84" i="10"/>
  <c r="N62" i="10"/>
  <c r="N17" i="10"/>
  <c r="M89" i="10"/>
  <c r="M85" i="10"/>
  <c r="M57" i="10"/>
  <c r="M63" i="10"/>
  <c r="M60" i="10"/>
  <c r="M83" i="10"/>
  <c r="N58" i="10"/>
  <c r="N64" i="10"/>
  <c r="M79" i="10"/>
  <c r="M37" i="10"/>
  <c r="N87" i="10"/>
  <c r="N71" i="10"/>
  <c r="N22" i="10"/>
  <c r="M80" i="10"/>
  <c r="N77" i="10"/>
  <c r="N21" i="10"/>
  <c r="N82" i="10"/>
  <c r="N41" i="10"/>
  <c r="N56" i="10"/>
  <c r="N47" i="10"/>
  <c r="M90" i="10"/>
  <c r="N67" i="10"/>
  <c r="M65" i="10"/>
  <c r="N18" i="10"/>
  <c r="M81" i="10"/>
  <c r="M69" i="10"/>
  <c r="M38" i="10"/>
  <c r="N53" i="10"/>
  <c r="N88" i="10"/>
  <c r="N61" i="10"/>
  <c r="M75" i="10"/>
  <c r="M50" i="10"/>
  <c r="N27" i="10"/>
  <c r="M42" i="10"/>
  <c r="M26" i="10"/>
  <c r="N16" i="10"/>
  <c r="N20" i="10"/>
  <c r="N59" i="10"/>
  <c r="N43" i="10"/>
  <c r="M72" i="10"/>
  <c r="M70" i="10"/>
  <c r="M11" i="10"/>
  <c r="N74" i="10"/>
  <c r="N32" i="10"/>
  <c r="M78" i="10"/>
  <c r="N76" i="10"/>
  <c r="M51" i="10"/>
  <c r="M35" i="10"/>
  <c r="M12" i="10"/>
  <c r="N40" i="10"/>
  <c r="N48" i="10"/>
  <c r="F28" i="10" l="1"/>
  <c r="O28" i="10" s="1"/>
  <c r="F21" i="10"/>
  <c r="O21" i="10" s="1"/>
  <c r="F81" i="10"/>
  <c r="O81" i="10" s="1"/>
  <c r="F36" i="10"/>
  <c r="O36" i="10" s="1"/>
  <c r="F72" i="10"/>
  <c r="O72" i="10" s="1"/>
  <c r="F58" i="10"/>
  <c r="O58" i="10" s="1"/>
  <c r="F64" i="10"/>
  <c r="O64" i="10" s="1"/>
  <c r="F73" i="10"/>
  <c r="O73" i="10" s="1"/>
  <c r="F51" i="10"/>
  <c r="O51" i="10" s="1"/>
  <c r="F83" i="10"/>
  <c r="O83" i="10" s="1"/>
  <c r="F49" i="10"/>
  <c r="F66" i="10"/>
  <c r="O66" i="10" s="1"/>
  <c r="F14" i="10"/>
  <c r="F53" i="10"/>
  <c r="O53" i="10" s="1"/>
  <c r="F48" i="10"/>
  <c r="O48" i="10" s="1"/>
  <c r="F52" i="10"/>
  <c r="O52" i="10" s="1"/>
  <c r="F43" i="10"/>
  <c r="O43" i="10" s="1"/>
  <c r="F27" i="10"/>
  <c r="O27" i="10" s="1"/>
  <c r="F19" i="10"/>
  <c r="O19" i="10" s="1"/>
  <c r="F78" i="10"/>
  <c r="O78" i="10" s="1"/>
  <c r="F75" i="10"/>
  <c r="O75" i="10" s="1"/>
  <c r="F45" i="10"/>
  <c r="O45" i="10" s="1"/>
  <c r="F82" i="10"/>
  <c r="O82" i="10" s="1"/>
  <c r="F69" i="10"/>
  <c r="O69" i="10" s="1"/>
  <c r="F41" i="10"/>
  <c r="O41" i="10" s="1"/>
  <c r="F71" i="10"/>
  <c r="O71" i="10" s="1"/>
  <c r="F44" i="10"/>
  <c r="F90" i="10"/>
  <c r="O90" i="10" s="1"/>
  <c r="F88" i="10"/>
  <c r="O88" i="10" s="1"/>
  <c r="F31" i="10"/>
  <c r="F74" i="10"/>
  <c r="O74" i="10" s="1"/>
  <c r="F29" i="10"/>
  <c r="F80" i="10"/>
  <c r="O80" i="10" s="1"/>
  <c r="F62" i="10"/>
  <c r="O62" i="10" s="1"/>
  <c r="F89" i="10"/>
  <c r="O89" i="10" s="1"/>
  <c r="F30" i="10"/>
  <c r="O30" i="10" s="1"/>
  <c r="F79" i="10"/>
  <c r="O79" i="10" s="1"/>
  <c r="F34" i="10"/>
  <c r="F12" i="10"/>
  <c r="O12" i="10" s="1"/>
  <c r="F54" i="10"/>
  <c r="O54" i="10" s="1"/>
  <c r="F37" i="10"/>
  <c r="O37" i="10" s="1"/>
  <c r="F35" i="10"/>
  <c r="O35" i="10" s="1"/>
  <c r="F40" i="10"/>
  <c r="O40" i="10" s="1"/>
  <c r="F42" i="10"/>
  <c r="O42" i="10" s="1"/>
  <c r="F25" i="10"/>
  <c r="O25" i="10" s="1"/>
  <c r="F84" i="10"/>
  <c r="O84" i="10" s="1"/>
  <c r="F59" i="10"/>
  <c r="O59" i="10" s="1"/>
  <c r="F15" i="10"/>
  <c r="O15" i="10" s="1"/>
  <c r="F17" i="10"/>
  <c r="O17" i="10" s="1"/>
  <c r="F77" i="10"/>
  <c r="O77" i="10" s="1"/>
  <c r="F63" i="10"/>
  <c r="O63" i="10" s="1"/>
  <c r="F56" i="10"/>
  <c r="O56" i="10" s="1"/>
  <c r="F11" i="10"/>
  <c r="O11" i="10" s="1"/>
  <c r="F16" i="10"/>
  <c r="O16" i="10" s="1"/>
  <c r="F85" i="10"/>
  <c r="O85" i="10" s="1"/>
  <c r="F86" i="10"/>
  <c r="O86" i="10" s="1"/>
  <c r="F46" i="10"/>
  <c r="O46" i="10" s="1"/>
  <c r="F87" i="10"/>
  <c r="O87" i="10" s="1"/>
  <c r="F33" i="10"/>
  <c r="F61" i="10"/>
  <c r="O61" i="10" s="1"/>
  <c r="F24" i="10"/>
  <c r="F10" i="10"/>
  <c r="O10" i="10" s="1"/>
  <c r="F23" i="10"/>
  <c r="O23" i="10" s="1"/>
  <c r="F65" i="10"/>
  <c r="O65" i="10" s="1"/>
  <c r="F26" i="10"/>
  <c r="O26" i="10" s="1"/>
  <c r="F32" i="10"/>
  <c r="O32" i="10" s="1"/>
  <c r="F60" i="10"/>
  <c r="O60" i="10" s="1"/>
  <c r="F50" i="10"/>
  <c r="O50" i="10" s="1"/>
  <c r="F22" i="10"/>
  <c r="O22" i="10" s="1"/>
  <c r="F47" i="10"/>
  <c r="O47" i="10" s="1"/>
  <c r="F55" i="10"/>
  <c r="O55" i="10" s="1"/>
  <c r="F18" i="10"/>
  <c r="O18" i="10" s="1"/>
  <c r="F39" i="10"/>
  <c r="F68" i="10"/>
  <c r="O68" i="10" s="1"/>
  <c r="F38" i="10"/>
  <c r="O38" i="10" s="1"/>
  <c r="F76" i="10"/>
  <c r="O76" i="10" s="1"/>
  <c r="F67" i="10"/>
  <c r="O67" i="10" s="1"/>
  <c r="F20" i="10"/>
  <c r="O20" i="10" s="1"/>
  <c r="F13" i="10"/>
  <c r="O13" i="10" s="1"/>
  <c r="F57" i="10"/>
  <c r="O57" i="10" s="1"/>
  <c r="F70" i="10"/>
  <c r="O70" i="10" s="1"/>
  <c r="N46" i="10"/>
  <c r="O31" i="10" l="1"/>
  <c r="N31" i="10"/>
  <c r="O33" i="10"/>
  <c r="N33" i="10"/>
  <c r="O29" i="10"/>
  <c r="N29" i="10"/>
  <c r="N37" i="10"/>
  <c r="O24" i="10"/>
  <c r="N24" i="10"/>
  <c r="O14" i="10"/>
  <c r="N14" i="10"/>
  <c r="O34" i="10"/>
  <c r="N34" i="10"/>
  <c r="O49" i="10"/>
  <c r="N49" i="10"/>
  <c r="N35" i="10"/>
  <c r="O44" i="10"/>
  <c r="N44" i="10"/>
  <c r="O39" i="10"/>
  <c r="N39" i="10"/>
  <c r="I25" i="10" l="1"/>
  <c r="D7" i="10"/>
  <c r="J7" i="10" s="1"/>
  <c r="H25" i="10"/>
  <c r="J6" i="10" l="1"/>
  <c r="J2" i="10"/>
  <c r="J3" i="10"/>
  <c r="J5" i="10"/>
  <c r="J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tc={BD6D9E66-1531-4D22-9F52-577E8058486C}</author>
    <author>tc={D66D6165-54E6-4714-834E-11CA26D3F50D}</author>
    <author>tc={D3DF00D5-CFA2-44DD-8889-7ED219E3F067}</author>
    <author>tc={8BAF22F7-02C0-4C76-ADFF-F46BB02FF3E6}</author>
    <author>tc={A0D48725-EFA1-41FF-A5E4-11D6C9BFB5B8}</author>
  </authors>
  <commentList>
    <comment ref="D49" authorId="0" shapeId="0" xr:uid="{BD6D9E66-1531-4D22-9F52-577E8058486C}">
      <text>
        <t>[Threaded comment]
Your version of Excel allows you to read this threaded comment; however, any edits to it will get removed if the file is opened in a newer version of Excel. Learn more: https://go.microsoft.com/fwlink/?linkid=870924
Comment:
    Shouldn’t be H10 instead of H9. I suggest adding the name of the Sheet where thew Temperatures should be added.</t>
      </text>
    </comment>
    <comment ref="D51" authorId="1" shapeId="0" xr:uid="{D66D6165-54E6-4714-834E-11CA26D3F50D}">
      <text>
        <t>[Threaded comment]
Your version of Excel allows you to read this threaded comment; however, any edits to it will get removed if the file is opened in a newer version of Excel. Learn more: https://go.microsoft.com/fwlink/?linkid=870924
Comment:
    In I9-I94? Is that correct, in which Sheet?</t>
      </text>
    </comment>
    <comment ref="D53" authorId="2" shapeId="0" xr:uid="{D3DF00D5-CFA2-44DD-8889-7ED219E3F067}">
      <text>
        <t>[Threaded comment]
Your version of Excel allows you to read this threaded comment; however, any edits to it will get removed if the file is opened in a newer version of Excel. Learn more: https://go.microsoft.com/fwlink/?linkid=870924
Comment:
    Is the “Excel is dumb” necessary?</t>
      </text>
    </comment>
    <comment ref="E54" authorId="3" shapeId="0" xr:uid="{8BAF22F7-02C0-4C76-ADFF-F46BB02FF3E6}">
      <text>
        <t>[Threaded comment]
Your version of Excel allows you to read this threaded comment; however, any edits to it will get removed if the file is opened in a newer version of Excel. Learn more: https://go.microsoft.com/fwlink/?linkid=870924
Comment:
    Instead of of, should be is?</t>
      </text>
    </comment>
    <comment ref="E59" authorId="4" shapeId="0" xr:uid="{A0D48725-EFA1-41FF-A5E4-11D6C9BFB5B8}">
      <text>
        <t>[Threaded comment]
Your version of Excel allows you to read this threaded comment; however, any edits to it will get removed if the file is opened in a newer version of Excel. Learn more: https://go.microsoft.com/fwlink/?linkid=870924
Comment:
    Should be D7 instead of D6?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tc={8C5F7B28-F303-4635-8739-073A9E0360F3}</author>
    <author>tc={B5962D4A-603C-48CC-9581-44DADF98B307}</author>
    <author>tc={FFA8E8F4-B9C6-465C-BDEC-5CF64FC27B65}</author>
    <author>tc={B7586B2B-7429-459C-BA25-B270624BEF6B}</author>
  </authors>
  <commentList>
    <comment ref="B8" authorId="0" shapeId="0" xr:uid="{8C5F7B28-F303-4635-8739-073A9E0360F3}">
      <text>
        <t>[Threaded comment]
Your version of Excel allows you to read this threaded comment; however, any edits to it will get removed if the file is opened in a newer version of Excel. Learn more: https://go.microsoft.com/fwlink/?linkid=870924
Comment:
    Is this mistake, or was actually in the source written like that (not capitalised genus name). This can be observed in several cases</t>
      </text>
    </comment>
    <comment ref="B25" authorId="1" shapeId="0" xr:uid="{B5962D4A-603C-48CC-9581-44DADF98B307}">
      <text>
        <t>[Threaded comment]
Your version of Excel allows you to read this threaded comment; however, any edits to it will get removed if the file is opened in a newer version of Excel. Learn more: https://go.microsoft.com/fwlink/?linkid=870924
Comment:
    I did not highlight all, here are just some examples of names with not capitalised genome name</t>
      </text>
    </comment>
    <comment ref="D503" authorId="2" shapeId="0" xr:uid="{FFA8E8F4-B9C6-465C-BDEC-5CF64FC27B65}">
      <text>
        <t>[Threaded comment]
Your version of Excel allows you to read this threaded comment; however, any edits to it will get removed if the file is opened in a newer version of Excel. Learn more: https://go.microsoft.com/fwlink/?linkid=870924
Comment:
    Is there specific reason why this cell is highlighted?</t>
      </text>
    </comment>
    <comment ref="D737" authorId="3" shapeId="0" xr:uid="{B7586B2B-7429-459C-BA25-B270624BEF6B}">
      <text>
        <t>[Threaded comment]
Your version of Excel allows you to read this threaded comment; however, any edits to it will get removed if the file is opened in a newer version of Excel. Learn more: https://go.microsoft.com/fwlink/?linkid=870924
Comment:
    Is this needed here? If yes, maybe mark this cell somehow.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tc={608EFC99-A2BF-4C96-A21A-D0F9DF2F2C7D}</author>
    <author>tc={8CA90B6B-E210-4126-95ED-8C59F0A85312}</author>
  </authors>
  <commentList>
    <comment ref="R4" authorId="0" shapeId="0" xr:uid="{608EFC99-A2BF-4C96-A21A-D0F9DF2F2C7D}">
      <text>
        <t>[Threaded comment]
Your version of Excel allows you to read this threaded comment; however, any edits to it will get removed if the file is opened in a newer version of Excel. Learn more: https://go.microsoft.com/fwlink/?linkid=870924
Comment:
    Maybe mark this somehow</t>
      </text>
    </comment>
    <comment ref="R10" authorId="1" shapeId="0" xr:uid="{8CA90B6B-E210-4126-95ED-8C59F0A85312}">
      <text>
        <t>[Threaded comment]
Your version of Excel allows you to read this threaded comment; however, any edits to it will get removed if the file is opened in a newer version of Excel. Learn more: https://go.microsoft.com/fwlink/?linkid=870924
Comment:
    What are these numbers?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tc={86727B84-307F-404F-9A4E-97CA6F129CD9}</author>
  </authors>
  <commentList>
    <comment ref="A1" authorId="0" shapeId="0" xr:uid="{86727B84-307F-404F-9A4E-97CA6F129CD9}">
      <text>
        <t xml:space="preserve">[Threaded comment]
Your version of Excel allows you to read this threaded comment; however, any edits to it will get removed if the file is opened in a newer version of Excel. Learn more: https://go.microsoft.com/fwlink/?linkid=870924
Comment:
    All the names should be written with capital genome letter </t>
      </text>
    </comment>
  </commentList>
</comments>
</file>

<file path=xl/sharedStrings.xml><?xml version="1.0" encoding="utf-8"?>
<sst xmlns="http://schemas.openxmlformats.org/spreadsheetml/2006/main" count="10276" uniqueCount="3884">
  <si>
    <t>Genome length</t>
  </si>
  <si>
    <t>Thermomyces lanuginosus</t>
  </si>
  <si>
    <t>Rasamsonia emersonii</t>
  </si>
  <si>
    <t>Malbranchea cinnamomea</t>
  </si>
  <si>
    <t>Rhizomucor miehei</t>
  </si>
  <si>
    <t>Thermothelomyces thermophilus</t>
  </si>
  <si>
    <t>Grosmannia clavigera</t>
  </si>
  <si>
    <t>Paxillus involutus</t>
  </si>
  <si>
    <t>Ophiocordyceps sinensis</t>
  </si>
  <si>
    <t>Penicillium expansum</t>
  </si>
  <si>
    <t>Bipolaris maydis</t>
  </si>
  <si>
    <t>Thermoascus aurantiacus</t>
  </si>
  <si>
    <t>Kluyveromyces marxianus</t>
  </si>
  <si>
    <t>Thermomyces stellatus</t>
  </si>
  <si>
    <t>Thielavia australiensis</t>
  </si>
  <si>
    <t>Trichoderma atroviride</t>
  </si>
  <si>
    <t>Talaromyces stipitatus</t>
  </si>
  <si>
    <t>Ascosphaera apis</t>
  </si>
  <si>
    <t>Puccinia graminis</t>
  </si>
  <si>
    <t>Podospora anserina</t>
  </si>
  <si>
    <t>Heterobasidion irregulare</t>
  </si>
  <si>
    <t>Russula virescens</t>
  </si>
  <si>
    <t>Mortierella alpina</t>
  </si>
  <si>
    <t>Claviceps purpurea </t>
  </si>
  <si>
    <t>Serpula lacrymans</t>
  </si>
  <si>
    <t>Trichoderma virens</t>
  </si>
  <si>
    <t>Aspergillus clavatus</t>
  </si>
  <si>
    <t>Botrytis cinerea</t>
  </si>
  <si>
    <t>Chaetomium globosum</t>
  </si>
  <si>
    <t>Aspergillus terreus</t>
  </si>
  <si>
    <t>Phanerodontia chrysosporium</t>
  </si>
  <si>
    <t>Colletotrichum orbiculare</t>
  </si>
  <si>
    <t>Bipolaris zeicola</t>
  </si>
  <si>
    <t>Fulvia fulva</t>
  </si>
  <si>
    <t>Cladosporium sphaerospermum</t>
  </si>
  <si>
    <t>Fusarium solani</t>
  </si>
  <si>
    <t>Leptosphaeria maculans</t>
  </si>
  <si>
    <t>Penicillium decumbens</t>
  </si>
  <si>
    <t>Lentinula edodes</t>
  </si>
  <si>
    <t>Fusarium sporotrichioides</t>
  </si>
  <si>
    <t>Penicillium chrysogenum</t>
  </si>
  <si>
    <t>Cordyceps militaris</t>
  </si>
  <si>
    <t>Cronartium quercuum</t>
  </si>
  <si>
    <t>Gelatoporia subvermispora</t>
  </si>
  <si>
    <t>Fomitiporia mediterranea</t>
  </si>
  <si>
    <t>Trametes versicolor</t>
  </si>
  <si>
    <t>Coniophora puteana</t>
  </si>
  <si>
    <t>Stereum hirsutum</t>
  </si>
  <si>
    <t>Fusarium proliferatum</t>
  </si>
  <si>
    <t>Puccinia striiformis</t>
  </si>
  <si>
    <t>Pseudogymnoascus destructans</t>
  </si>
  <si>
    <t>Colletotrichum graminicola</t>
  </si>
  <si>
    <t>Puccinia triticina</t>
  </si>
  <si>
    <t>Aspergillus carbonarius</t>
  </si>
  <si>
    <t>Beauveria brongniartii</t>
  </si>
  <si>
    <t>Beauveria bassiana</t>
  </si>
  <si>
    <t>Trichophyton benhamiae</t>
  </si>
  <si>
    <t>Alternaria brassicicola</t>
  </si>
  <si>
    <t>Blumeria graminis</t>
  </si>
  <si>
    <t>Verticillium dahliae</t>
  </si>
  <si>
    <t>Podila verticillata</t>
  </si>
  <si>
    <t>Trichophyton rubrum</t>
  </si>
  <si>
    <t>Trichophyton equinum</t>
  </si>
  <si>
    <t>Microsporum canis</t>
  </si>
  <si>
    <t>Postia placenta</t>
  </si>
  <si>
    <t>Talaromyces marneffei</t>
  </si>
  <si>
    <t>Fusarium oxysporum</t>
  </si>
  <si>
    <t>Pyrenophora tritici-repentis</t>
  </si>
  <si>
    <t>Aspergillus oryzae</t>
  </si>
  <si>
    <t>Aspergillus fischeri</t>
  </si>
  <si>
    <t>Sclerotinia sclerotiorum</t>
  </si>
  <si>
    <t>Parastagonospora nodorum</t>
  </si>
  <si>
    <t>Schizophyllum commune</t>
  </si>
  <si>
    <t>Allomyces macrogynus</t>
  </si>
  <si>
    <t>Trichoderma reesei</t>
  </si>
  <si>
    <t>Lachancea thermotolerans</t>
  </si>
  <si>
    <t>Ogataea polymorpha</t>
  </si>
  <si>
    <t>Aspergillus nidulans</t>
  </si>
  <si>
    <t>Coccidioides immitis</t>
  </si>
  <si>
    <t>Blastomyces dermatitidis</t>
  </si>
  <si>
    <t>Histoplasma capsulatum</t>
  </si>
  <si>
    <t>Fusarium graminearum</t>
  </si>
  <si>
    <t>Candida albicans</t>
  </si>
  <si>
    <t>Pneumocystis carinii</t>
  </si>
  <si>
    <t>Pseudocercospora fijiensis</t>
  </si>
  <si>
    <t>Purpureocillium lilacinum</t>
  </si>
  <si>
    <t>Rhinocladiella mackenziei</t>
  </si>
  <si>
    <t>Verruconis gallopava</t>
  </si>
  <si>
    <t>Sclerotinia borealis</t>
  </si>
  <si>
    <t>Penicillium oxalicum</t>
  </si>
  <si>
    <t>Flammulina velutipes</t>
  </si>
  <si>
    <t>Eutypa lata</t>
  </si>
  <si>
    <t>Cladophialophora carrionii</t>
  </si>
  <si>
    <t>Metarhizium brunneum</t>
  </si>
  <si>
    <t>Pestalotiopsis fici</t>
  </si>
  <si>
    <t>Ganoderma sinense</t>
  </si>
  <si>
    <t>Fusarium pseudograminearum</t>
  </si>
  <si>
    <t>Dichomitus squalens</t>
  </si>
  <si>
    <t>Aureobasidium pullulans</t>
  </si>
  <si>
    <t>Coniosporium apollinis</t>
  </si>
  <si>
    <t>Metarhizium robertsii</t>
  </si>
  <si>
    <t>Hirsutella rhossiliensis</t>
  </si>
  <si>
    <t>Pyricularia grisea</t>
  </si>
  <si>
    <t>Hortaea werneckii</t>
  </si>
  <si>
    <t>Heterobasidion annosum</t>
  </si>
  <si>
    <t>Daldinia eschscholtzii</t>
  </si>
  <si>
    <t>Rozella allomycis</t>
  </si>
  <si>
    <t>Epicoccum nigrum</t>
  </si>
  <si>
    <t>Alternaria arborescens</t>
  </si>
  <si>
    <t>Brettanomyces bruxellensis</t>
  </si>
  <si>
    <t>Dothistroma septosporum</t>
  </si>
  <si>
    <t>Oidiodendron maius</t>
  </si>
  <si>
    <t>Tolypocladium inflatum</t>
  </si>
  <si>
    <t>Cordyceps fumosorosea</t>
  </si>
  <si>
    <t>Rhizoctonia solani</t>
  </si>
  <si>
    <t>Hirsutella minnesotensis</t>
  </si>
  <si>
    <t>Colletotrichum higginsianum</t>
  </si>
  <si>
    <t>Fusarium circinatum</t>
  </si>
  <si>
    <t>Pneumocystis jirovecii</t>
  </si>
  <si>
    <t>Sporobolomyces roseus</t>
  </si>
  <si>
    <t>Tuber borchii </t>
  </si>
  <si>
    <t>Moniliophthora roreri</t>
  </si>
  <si>
    <t>Catenaria anguillulae</t>
  </si>
  <si>
    <t>Gloeophyllum trabeum</t>
  </si>
  <si>
    <t>Ophiognomonia clavigignenti-juglandacearum</t>
  </si>
  <si>
    <t>Exophiala dermatitidis</t>
  </si>
  <si>
    <t>Metarhizium acridum</t>
  </si>
  <si>
    <t>Phanerochaete carnosa</t>
  </si>
  <si>
    <t>Metarhizium anisopliae</t>
  </si>
  <si>
    <t>Candida parapsilosis</t>
  </si>
  <si>
    <t>Rhodotorula graminis</t>
  </si>
  <si>
    <t>Verticillium albo-atrum</t>
  </si>
  <si>
    <t>Malassezia restricta</t>
  </si>
  <si>
    <t>Malassezia globosa</t>
  </si>
  <si>
    <t>Phycomyces blakesleeanus</t>
  </si>
  <si>
    <t>Schizosaccharomyces japonicus</t>
  </si>
  <si>
    <t>Aspergillus niger</t>
  </si>
  <si>
    <t>Phakopsora pachyrhizi</t>
  </si>
  <si>
    <t>Phytophthora infestans</t>
  </si>
  <si>
    <t>Debaryomyces hansenii</t>
  </si>
  <si>
    <t>Coccidioides posadasii</t>
  </si>
  <si>
    <t>Eremothecium gossypii</t>
  </si>
  <si>
    <t>Pyricularia oryzae</t>
  </si>
  <si>
    <t>Millerozyma farinosa</t>
  </si>
  <si>
    <t>Saccharomyces mikatae</t>
  </si>
  <si>
    <t>Saccharomyces bayanus</t>
  </si>
  <si>
    <t>Malassezia pachydermatis</t>
  </si>
  <si>
    <t>Pichia kudriavzevii</t>
  </si>
  <si>
    <t>Schizosaccharomyces octosporus</t>
  </si>
  <si>
    <t>Saccharomyces pastorianus</t>
  </si>
  <si>
    <t>Komagataella pastoris</t>
  </si>
  <si>
    <t>Clavispora lusitaniae</t>
  </si>
  <si>
    <t>Yarrowia lipolytica</t>
  </si>
  <si>
    <t>Kluyveromyces lactis</t>
  </si>
  <si>
    <t>Saccharomyces kudriavzevii</t>
  </si>
  <si>
    <t>Saccharomyces paradoxus</t>
  </si>
  <si>
    <t>Saccharomyces cerevisiae</t>
  </si>
  <si>
    <t>Torulaspora delbrueckii</t>
  </si>
  <si>
    <t>Pachysolen tannophilus</t>
  </si>
  <si>
    <t>Wickerhamomyces anomalus</t>
  </si>
  <si>
    <t>Schizosaccharomyces cryophilus</t>
  </si>
  <si>
    <t>Scheffersomyces stipitis</t>
  </si>
  <si>
    <t>Meyerozyma guilliermondii</t>
  </si>
  <si>
    <t>Candida tropicalis</t>
  </si>
  <si>
    <t>Zygosaccharomyces rouxii</t>
  </si>
  <si>
    <t>Schizosaccharomyces pombe </t>
  </si>
  <si>
    <t>Saccharomycopsis fibuligera</t>
  </si>
  <si>
    <t>Naganishia albida</t>
  </si>
  <si>
    <t>Saccharomyces eubayanus</t>
  </si>
  <si>
    <t>Cladophialophora immunda</t>
  </si>
  <si>
    <t>Hyphopichia burtonii</t>
  </si>
  <si>
    <t>Cladophialophora psammophila</t>
  </si>
  <si>
    <t>Candida maltosa</t>
  </si>
  <si>
    <t>Pichia membranifaciens</t>
  </si>
  <si>
    <t>Metschnikowia fructicola</t>
  </si>
  <si>
    <t>Cyberlindnera jadinii</t>
  </si>
  <si>
    <t>Exophiala aquamarina</t>
  </si>
  <si>
    <t>Cladophialophora yegresii</t>
  </si>
  <si>
    <t>Saccharomyces arboricola</t>
  </si>
  <si>
    <t>Lipomyces starkeyi</t>
  </si>
  <si>
    <t>Candida viswanathii</t>
  </si>
  <si>
    <t>Rasamsonia byssochlamydoides</t>
  </si>
  <si>
    <t>Chaetomium thermophilum</t>
  </si>
  <si>
    <t>Thielavia terrestris</t>
  </si>
  <si>
    <t>Myceliophthora hinnulea</t>
  </si>
  <si>
    <t>Myriococcum thermophilum</t>
  </si>
  <si>
    <t>Thermoascus crustaceus</t>
  </si>
  <si>
    <t>Calcarisporiella thermophila</t>
  </si>
  <si>
    <t>Phanerochaete chrysosporium</t>
  </si>
  <si>
    <t>Acremonium alcalophilum</t>
  </si>
  <si>
    <t>Amorphotheca resinae</t>
  </si>
  <si>
    <t>Pleurotus ostreatus</t>
  </si>
  <si>
    <t>Temp</t>
  </si>
  <si>
    <t>Fusarium langsethiae</t>
  </si>
  <si>
    <t>Fusarium phyllophilum</t>
  </si>
  <si>
    <t>Mucor lusitanicus</t>
  </si>
  <si>
    <t>Mucor plumbeus</t>
  </si>
  <si>
    <t>Penicillium antarcticum</t>
  </si>
  <si>
    <t>Penicillium polonicum</t>
  </si>
  <si>
    <t>Penicillium rubens</t>
  </si>
  <si>
    <t>https://www.tandfonline.com/doi/epdf/10.1080/09583159929767?needAccess=true</t>
  </si>
  <si>
    <t>Pisolithus tinctorius</t>
  </si>
  <si>
    <t>Rhizopus stolonifer</t>
  </si>
  <si>
    <t>Alternaria alternata</t>
  </si>
  <si>
    <t>Aspergillus glaucus</t>
  </si>
  <si>
    <t>Aspergillus chevalieri</t>
  </si>
  <si>
    <t>Mycothermus thermophilus</t>
  </si>
  <si>
    <t>Range</t>
  </si>
  <si>
    <t>Q10</t>
  </si>
  <si>
    <t>Activity</t>
  </si>
  <si>
    <t>Denaturation</t>
  </si>
  <si>
    <t>Product</t>
  </si>
  <si>
    <t>Normalized product</t>
  </si>
  <si>
    <t>Current</t>
  </si>
  <si>
    <t>New</t>
  </si>
  <si>
    <t>Best</t>
  </si>
  <si>
    <t>New best</t>
  </si>
  <si>
    <t>USE</t>
  </si>
  <si>
    <t>VALUE</t>
  </si>
  <si>
    <t>RMS</t>
  </si>
  <si>
    <t>LIMITS</t>
  </si>
  <si>
    <t>LOW</t>
  </si>
  <si>
    <t>HIGH</t>
  </si>
  <si>
    <t>THRESHHOLD</t>
  </si>
  <si>
    <t>STEP</t>
  </si>
  <si>
    <t>Basis</t>
  </si>
  <si>
    <t>Model</t>
  </si>
  <si>
    <t>Stated</t>
  </si>
  <si>
    <t>Graph</t>
  </si>
  <si>
    <t>Pseudocercosporella herpotrichoides</t>
  </si>
  <si>
    <t>Thermoascus thermophilus</t>
  </si>
  <si>
    <t>Min</t>
  </si>
  <si>
    <t>Max</t>
  </si>
  <si>
    <t>Candida auris</t>
  </si>
  <si>
    <t>Cryptococcus vishniacii</t>
  </si>
  <si>
    <t>Rhodotorula minuta</t>
  </si>
  <si>
    <t>stated</t>
  </si>
  <si>
    <t>model</t>
  </si>
  <si>
    <t>Rhodotorula aurantiaca</t>
  </si>
  <si>
    <t>Candida macedoniensis</t>
  </si>
  <si>
    <t>Nadsonia elongata</t>
  </si>
  <si>
    <t>Cyniclomyces guttulatus</t>
  </si>
  <si>
    <t>Saccharomyces mellis</t>
  </si>
  <si>
    <t>Torulopsis glabrata</t>
  </si>
  <si>
    <t>Saccharomyces jurei</t>
  </si>
  <si>
    <t>Lactarius controversus</t>
  </si>
  <si>
    <t>Hemileia vastatrix</t>
  </si>
  <si>
    <t>Puccinia allii</t>
  </si>
  <si>
    <t>Puccinia hordei</t>
  </si>
  <si>
    <t>Uromyces fabae</t>
  </si>
  <si>
    <t>Uromyces transversalis</t>
  </si>
  <si>
    <t>Cystobasidium ongulense</t>
  </si>
  <si>
    <t>Cystobasidium tubakii</t>
  </si>
  <si>
    <t>Glaciozyma martinii</t>
  </si>
  <si>
    <t>Glaciozyma Antarctica</t>
  </si>
  <si>
    <t>Mrakia gelida</t>
  </si>
  <si>
    <t>Mrakia hoshinonis</t>
  </si>
  <si>
    <t>Naganishia friedmannii</t>
  </si>
  <si>
    <t>Tausonia pullulans</t>
  </si>
  <si>
    <t>Vishniacozyma victoriae</t>
  </si>
  <si>
    <t>Melampsora larici-populina</t>
  </si>
  <si>
    <t>Penicillium pinophilum</t>
  </si>
  <si>
    <t>https://bmcmicrobiol.biomedcentral.com/articles/10.1186/s12866-019-1453-3</t>
  </si>
  <si>
    <t>Tolypocladium cylindrosporum</t>
  </si>
  <si>
    <t>graph</t>
  </si>
  <si>
    <t>Cronartium ribicola</t>
  </si>
  <si>
    <t>Rhizopus nigricans</t>
  </si>
  <si>
    <t>Mortierella antarctica</t>
  </si>
  <si>
    <t>Puccinia sorghi</t>
  </si>
  <si>
    <t>Alternaria solani</t>
  </si>
  <si>
    <t>Venturia inaequalis</t>
  </si>
  <si>
    <t>Armillaria mellea</t>
  </si>
  <si>
    <t>Rhizomucor pusillus</t>
  </si>
  <si>
    <t>Yamadazyma laniorum</t>
  </si>
  <si>
    <t>Candida tenuis</t>
  </si>
  <si>
    <t>Yamadazyma nakazawae</t>
  </si>
  <si>
    <t>Yamadazyma scolyti</t>
  </si>
  <si>
    <t>Fusarium incarnatum</t>
  </si>
  <si>
    <t>Candida shehatae</t>
  </si>
  <si>
    <t>Mrakia psychrophila</t>
  </si>
  <si>
    <t>Hansenula polymorpha</t>
  </si>
  <si>
    <t>Ophiostoma ulmi</t>
  </si>
  <si>
    <t>Bjerkandera adusta</t>
  </si>
  <si>
    <t>Exidia glandulosa</t>
  </si>
  <si>
    <t>Phlebia radiata</t>
  </si>
  <si>
    <t>Vuilleminia comedens</t>
  </si>
  <si>
    <t>Grifola frondosa</t>
  </si>
  <si>
    <t>Ganoderma lucidum</t>
  </si>
  <si>
    <t xml:space="preserve">aka Thermochaetoides thermophila </t>
  </si>
  <si>
    <t>Tremella aurantialba</t>
  </si>
  <si>
    <t>Trichoderma citrinoviride</t>
  </si>
  <si>
    <t>Thermomyces dupontii</t>
  </si>
  <si>
    <t>Humicola hyalothermophila</t>
  </si>
  <si>
    <t>Chaetomium olivicolor</t>
  </si>
  <si>
    <t>Pichia stipitis</t>
  </si>
  <si>
    <t>Kazachstania pintolopesii</t>
  </si>
  <si>
    <t>Yamadazyma tenuis</t>
  </si>
  <si>
    <t>Trichosporon cutaneum</t>
  </si>
  <si>
    <t>GC content</t>
  </si>
  <si>
    <t xml:space="preserve">Isaria fumosorosea </t>
  </si>
  <si>
    <t>Aschersonia aleyrodis</t>
  </si>
  <si>
    <t>Lecanicillium lecanii</t>
  </si>
  <si>
    <t>Aspergillus aculeatus</t>
  </si>
  <si>
    <t>Aspergillus brasiliensis</t>
  </si>
  <si>
    <t>Aspergillus sydowii</t>
  </si>
  <si>
    <t xml:space="preserve">Aspergillus tubingensis </t>
  </si>
  <si>
    <t xml:space="preserve">Aspergillus versicolor </t>
  </si>
  <si>
    <t>Aspergillus fumigatus</t>
  </si>
  <si>
    <t>Eurotium rubrum</t>
  </si>
  <si>
    <t>aspergillus ruber</t>
  </si>
  <si>
    <t>Penicillium digitatum</t>
  </si>
  <si>
    <t>Sodiomyces alcalophilus</t>
  </si>
  <si>
    <t>Coprinus comatus</t>
  </si>
  <si>
    <t>Agrocybe cylindracea</t>
  </si>
  <si>
    <t>Amanita pseudoporphyria</t>
  </si>
  <si>
    <t>Auricularia polytricha</t>
  </si>
  <si>
    <t>Cantharellus cibarius</t>
  </si>
  <si>
    <t>Hygrophorus russula</t>
  </si>
  <si>
    <t>Lactarius deliciosus</t>
  </si>
  <si>
    <t>Lactarius volemus</t>
  </si>
  <si>
    <t>Laetiporus sulphureus</t>
  </si>
  <si>
    <t>Morchella eximia</t>
  </si>
  <si>
    <t>Oudemansiella radicata</t>
  </si>
  <si>
    <t>Pleurotus citrinopileatus</t>
  </si>
  <si>
    <t>Pleurotus eryngii</t>
  </si>
  <si>
    <t>Sarcodon aspratus</t>
  </si>
  <si>
    <t>Stropharia rugosoannulata</t>
  </si>
  <si>
    <t>Tricholoma matsutake</t>
  </si>
  <si>
    <t>Tricholoma terreum</t>
  </si>
  <si>
    <t>Coriolus versicolor </t>
  </si>
  <si>
    <t>Naganishia vishniacii</t>
  </si>
  <si>
    <t>Atkinsonella texensis</t>
  </si>
  <si>
    <t>Epichloe typhina</t>
  </si>
  <si>
    <t>Goffeauzyma gilvescens</t>
  </si>
  <si>
    <t>Boletus edulis</t>
  </si>
  <si>
    <t>Thermothelomyces myriococcoides</t>
  </si>
  <si>
    <t>Thermothelomyces hinnuleus</t>
  </si>
  <si>
    <t>Scheffersomyces insectosa</t>
  </si>
  <si>
    <t>Nadsonia fulvescens var. elongata</t>
  </si>
  <si>
    <t>Talaromyces pinophilus</t>
  </si>
  <si>
    <t>NCBI</t>
  </si>
  <si>
    <t>Mycocosm</t>
  </si>
  <si>
    <t>Arxiozyma telluris</t>
  </si>
  <si>
    <t>Cochliobolus heterostrophus</t>
  </si>
  <si>
    <t>Cryphonectria parasitica</t>
  </si>
  <si>
    <t>Pichia pastoris, Komagataella phaffii</t>
  </si>
  <si>
    <t>Leucosporidium scottii</t>
  </si>
  <si>
    <t>Leucosporidiella creatinivora</t>
  </si>
  <si>
    <t>Mrakia blollopsis</t>
  </si>
  <si>
    <t>Stagonospora nodorum,</t>
  </si>
  <si>
    <t>Mycosphaerella fijiensis</t>
  </si>
  <si>
    <t>Tapesia yallundae , Oculimacula yallundae</t>
  </si>
  <si>
    <t>Rhizopus oryzae, Rhizopus delemar</t>
  </si>
  <si>
    <t>Buckleyzyma aurantiaca</t>
  </si>
  <si>
    <t>Cystobasidium minutum</t>
  </si>
  <si>
    <t>Rhodotorula glutinis</t>
  </si>
  <si>
    <t>Rhodotorula mucilaginosa</t>
  </si>
  <si>
    <t>Saccharomyces carlsbergensis</t>
  </si>
  <si>
    <t>Sporothrix variecibatus</t>
  </si>
  <si>
    <t>Guehomyces pullulans</t>
  </si>
  <si>
    <t>Talaromyces thermophilus</t>
  </si>
  <si>
    <t>Myceliophthora thermophila</t>
  </si>
  <si>
    <t>Hirsutella thompsonii</t>
  </si>
  <si>
    <t>Nakaseomyces glabratus, Candida glabrata</t>
  </si>
  <si>
    <t>Naematelia aurantialba</t>
  </si>
  <si>
    <t>Arthroderma benhamiae</t>
  </si>
  <si>
    <t>Cutaneotrichosporon cutaneum</t>
  </si>
  <si>
    <t>Verticillium alfalfae</t>
  </si>
  <si>
    <t>Zygosaccharomyces mellis</t>
  </si>
  <si>
    <t>Tricholoma bakamatsutake</t>
  </si>
  <si>
    <t>Macrolepiota dolichaula</t>
  </si>
  <si>
    <t>Armillaria ostoyae</t>
  </si>
  <si>
    <t>Aspergillus udagawae</t>
  </si>
  <si>
    <t>Neosartorya udagawae </t>
  </si>
  <si>
    <t>Auricularia subglabra</t>
  </si>
  <si>
    <t>Blastomyces parvus</t>
  </si>
  <si>
    <t>Blastomyces percursus</t>
  </si>
  <si>
    <t>Blastomyces silverae</t>
  </si>
  <si>
    <t>Botrytis elliptica</t>
  </si>
  <si>
    <t>Botrytis fragariae</t>
  </si>
  <si>
    <t>Morchella conica</t>
  </si>
  <si>
    <t>Peronospora tabacina</t>
  </si>
  <si>
    <t>Suillus luteus</t>
  </si>
  <si>
    <t/>
  </si>
  <si>
    <t>cellular organisms; Eukaryota; Opisthokonta; Fungi; Dikarya; Ascomycota; saccharomyceta; Pezizomycotina; leotiomyceta; sordariomyceta; Sordariomycetes; Hypocreomycetidae; Hypocreales; Clavicipitaceae; Claviceps</t>
  </si>
  <si>
    <t>cellular organisms; Eukaryota; Opisthokonta; Fungi; Dikarya; Ascomycota; saccharomyceta; Pezizomycotina; leotiomyceta; sordariomyceta; Sordariomycetes; Hypocreomycetidae; Hypocreales; Nectriaceae; Fusarium; Fusarium incarnatum-equiseti species complex</t>
  </si>
  <si>
    <t>cellular organisms; Eukaryota; Opisthokonta; Fungi; Dikarya; Ascomycota; saccharomyceta; Pezizomycotina; leotiomyceta; sordariomyceta; Sordariomycetes; Hypocreomycetidae; Hypocreales; Nectriaceae; Fusarium; Fusarium fujikuroi species complex</t>
  </si>
  <si>
    <t>cellular organisms; Eukaryota; Opisthokonta; Fungi; Dikarya; Ascomycota; saccharomyceta; Saccharomycotina; Saccharomycetes; Saccharomycetales; Saccharomycetaceae; Lachancea</t>
  </si>
  <si>
    <t>cellular organisms; Eukaryota; Opisthokonta; Fungi; Dikarya; Basidiomycota; Pucciniomycotina; Microbotryomycetes; Leucosporidiales; Leucosporidiaceae; Leucosporidium</t>
  </si>
  <si>
    <t>cellular organisms; Eukaryota; Opisthokonta; Fungi; Fungi incertae sedis; Mucoromycota; Mortierellomycotina; Mortierellomycetes; Mortierellales; Mortierellaceae; Mortierella</t>
  </si>
  <si>
    <t>cellular organisms; Eukaryota; Opisthokonta; Fungi; Dikarya; Basidiomycota; Agaricomycotina; Agaricomycetes; Agaricomycetes incertae sedis; Polyporales; Phanerochaetaceae; Phanerochaete</t>
  </si>
  <si>
    <t>cellular organisms; Eukaryota; Opisthokonta; Fungi; Dikarya; Basidiomycota; Agaricomycotina; Agaricomycetes; Agaricomycetidae; Agaricales; Agaricineae; Strophariaceae; Pholiota</t>
  </si>
  <si>
    <t>cellular organisms; Eukaryota; Opisthokonta; Fungi; Dikarya; Basidiomycota; Pucciniomycotina; Pucciniomycetes; Pucciniales; Pucciniaceae; Puccinia</t>
  </si>
  <si>
    <t>cellular organisms; Eukaryota; Opisthokonta; Fungi; Dikarya; Basidiomycota; Pucciniomycotina; Microbotryomycetes; Sporidiobolales; Sporidiobolaceae; Rhodotorula</t>
  </si>
  <si>
    <t>cellular organisms; Eukaryota; Opisthokonta; Fungi; Dikarya; Basidiomycota; Agaricomycotina; Agaricomycetes; Agaricomycetidae; Boletales; Suillineae; Suillaceae; Suillus</t>
  </si>
  <si>
    <t>cellular organisms; Eukaryota; Opisthokonta; Fungi; Dikarya; Ascomycota; saccharomyceta; Pezizomycotina; leotiomyceta; Eurotiomycetes; Eurotiomycetidae; Eurotiales; Trichocomaceae; Talaromyces; Talaromyces sect. Talaromyces</t>
  </si>
  <si>
    <t>cellular organisms; Eukaryota; Opisthokonta; Fungi; Dikarya; Ascomycota; saccharomyceta; Pezizomycotina; leotiomyceta; sordariomyceta; Sordariomycetes; Hypocreomycetidae; Hypocreales; Hypocreaceae; Trichoderma</t>
  </si>
  <si>
    <t>cellular organisms; Eukaryota; Opisthokonta; Fungi; Dikarya; Ascomycota; saccharomyceta; Pezizomycotina; Pezizomycetes; Pezizales; Tuberaceae; Tuber</t>
  </si>
  <si>
    <t>Rhizophlyctis rosea</t>
  </si>
  <si>
    <t>cellular organisms; Eukaryota; Opisthokonta; Fungi; Dikarya; Basidiomycota; Agaricomycotina; Agaricomycetes; Agaricomycetidae; Agaricales; Marasmiineae; Physalacriaceae; Armillaria</t>
  </si>
  <si>
    <t>cellular organisms; Eukaryota; Opisthokonta; Fungi; Dikarya; Ascomycota; saccharomyceta; Pezizomycotina; leotiomyceta; Eurotiomycetes; Eurotiomycetidae; Eurotiales; Aspergillaceae; Aspergillus</t>
  </si>
  <si>
    <t>Amanita muscaria</t>
  </si>
  <si>
    <t>Hypholoma fasciculare</t>
  </si>
  <si>
    <t>Daedalea quercina</t>
  </si>
  <si>
    <t>Lentinus lepideus</t>
  </si>
  <si>
    <t>Oligoporus placenta</t>
  </si>
  <si>
    <t>Penicillium funiculosum</t>
  </si>
  <si>
    <t>Aspergillus awamori</t>
  </si>
  <si>
    <t>Temp.</t>
  </si>
  <si>
    <t>Values</t>
  </si>
  <si>
    <t>https://onlinelibrary-wiley-com.libproxy.mit.edu/doi/epdf/10.1111/myc.12601</t>
  </si>
  <si>
    <t>Emmonsia parva </t>
  </si>
  <si>
    <t>Isaria farinosa</t>
  </si>
  <si>
    <t>https://nopr.niscpr.res.in/bitstream/123456789/11646/3/JSIR%2070(5)%20373-378.pdf</t>
  </si>
  <si>
    <t>Lachancea quebecansis</t>
  </si>
  <si>
    <t>Morchella importuna</t>
  </si>
  <si>
    <t>https://academic.oup.com/jambio/article-abstract/110/4/871/6720262</t>
  </si>
  <si>
    <t>Penicillium italicum</t>
  </si>
  <si>
    <t>Geotrichum candidum</t>
  </si>
  <si>
    <t>https://onlinelibrary.wiley.com/doi/epdf/10.1002/yea.3095</t>
  </si>
  <si>
    <t>Amanita rubescens</t>
  </si>
  <si>
    <t>Suillus punctipes</t>
  </si>
  <si>
    <t>Cenococcum graniforme</t>
  </si>
  <si>
    <t>Rhizopogon roseolus</t>
  </si>
  <si>
    <t>Russula emetica</t>
  </si>
  <si>
    <t>Tuber melanosporum</t>
  </si>
  <si>
    <t>Rhizopus oryzae</t>
  </si>
  <si>
    <t>Lichtheimia corymbifera</t>
  </si>
  <si>
    <t>Trichoderma viride</t>
  </si>
  <si>
    <t>Neurospora crassa</t>
  </si>
  <si>
    <t>Cenococcum geophilum</t>
  </si>
  <si>
    <t>Paecilomyces farinosus, Cordyceps farinosa</t>
  </si>
  <si>
    <t>TEMPERATURE RANGE</t>
  </si>
  <si>
    <t>Candida choctaworum</t>
  </si>
  <si>
    <t>Candida arcana</t>
  </si>
  <si>
    <t>Kodamaea arcana</t>
  </si>
  <si>
    <t>Candida asparagi</t>
  </si>
  <si>
    <t>Candida atbi</t>
  </si>
  <si>
    <t>Teunomyces atbi</t>
  </si>
  <si>
    <t>Candida blattae</t>
  </si>
  <si>
    <t>Candida blattariae</t>
  </si>
  <si>
    <t>Candida bohiensis</t>
  </si>
  <si>
    <t>Candida bokatorum</t>
  </si>
  <si>
    <t>Suhomyces bokatorum</t>
  </si>
  <si>
    <t>Candida bribrorum</t>
  </si>
  <si>
    <t>Suhomyces bribrorum</t>
  </si>
  <si>
    <t>Candida chickasaworum</t>
  </si>
  <si>
    <t>Suhomyces choctaworum</t>
  </si>
  <si>
    <t>Candida derodonti</t>
  </si>
  <si>
    <t>Kodamaea derodonti</t>
  </si>
  <si>
    <t>Candida diospyri</t>
  </si>
  <si>
    <t>Candida elateridarum</t>
  </si>
  <si>
    <t>Meyerozyma elateridarum</t>
  </si>
  <si>
    <t>Candida emberorum</t>
  </si>
  <si>
    <t>Suhomyces emberorum</t>
  </si>
  <si>
    <t>Candida fragi</t>
  </si>
  <si>
    <t>Kurtzmaniella fragi </t>
  </si>
  <si>
    <t>Candida gigantensis</t>
  </si>
  <si>
    <t>Candida guaymorum</t>
  </si>
  <si>
    <t>Suhomyces guaymorum</t>
  </si>
  <si>
    <t>Candida hungarica</t>
  </si>
  <si>
    <t>Kuraishia hungarica</t>
  </si>
  <si>
    <t>Candida kunorum</t>
  </si>
  <si>
    <t>Suhomyces kunorum</t>
  </si>
  <si>
    <t>Candida lycoperdinae</t>
  </si>
  <si>
    <t xml:space="preserve">Teunomyces lycoperdinae </t>
  </si>
  <si>
    <t>Candida michaelii</t>
  </si>
  <si>
    <t>Candida pallodes</t>
  </si>
  <si>
    <t>Teunomyces pallodes</t>
  </si>
  <si>
    <t>Candida panamensis</t>
  </si>
  <si>
    <t>Teunomyces panamensis</t>
  </si>
  <si>
    <t>Candida panamericana</t>
  </si>
  <si>
    <t>Suhomyces panamericanus</t>
  </si>
  <si>
    <t>Candida picachoensis</t>
  </si>
  <si>
    <t>Metschnikowia picachoensis</t>
  </si>
  <si>
    <t>Candida pimensis</t>
  </si>
  <si>
    <t>Metschnikowia pimensis</t>
  </si>
  <si>
    <t>Candida qinlingensis</t>
  </si>
  <si>
    <t>Candida suzukii</t>
  </si>
  <si>
    <t>Candida terraborum</t>
  </si>
  <si>
    <t>Suhomyces terraborum</t>
  </si>
  <si>
    <t>Candida tritomae</t>
  </si>
  <si>
    <t>Teunomyces tritomae</t>
  </si>
  <si>
    <t>Candida wounanorum</t>
  </si>
  <si>
    <t>Suhomyces wounanorum</t>
  </si>
  <si>
    <t>Candida yuchorum</t>
  </si>
  <si>
    <t>Suhomyces yuchorum</t>
  </si>
  <si>
    <t>Cryptococcus adeliensis</t>
  </si>
  <si>
    <t>cellular organisms; Eukaryota; Opisthokonta; Fungi; Dikarya; Basidiomycota; Agaricomycotina; Tremellomycetes; Filobasidiales; Filobasidiaceae; Naganishia</t>
  </si>
  <si>
    <t>Naganishia adeliensis</t>
  </si>
  <si>
    <t>Cryptococcus antarcticus</t>
  </si>
  <si>
    <t>Cryptococcus podzolicus</t>
  </si>
  <si>
    <t>cellular organisms; Eukaryota; Opisthokonta; Fungi; Dikarya; Basidiomycota; Agaricomycotina; Tremellomycetes; Tremellales; Trimorphomycetaceae; Saitozyma</t>
  </si>
  <si>
    <t>Saitozyma podzolica</t>
  </si>
  <si>
    <t>Geotrichum carabidarum</t>
  </si>
  <si>
    <t>Dipodascus carabidarus</t>
  </si>
  <si>
    <t>Geotrichum histeridarum</t>
  </si>
  <si>
    <t>Dipodascus histeridarus</t>
  </si>
  <si>
    <t>Kodamaea laetipori</t>
  </si>
  <si>
    <t>Lachancea meyersii</t>
  </si>
  <si>
    <t>Metschnikowia chrysoperlae</t>
  </si>
  <si>
    <t>Metschnikowia corniflorae</t>
  </si>
  <si>
    <t>Metschnikowia dekortorum</t>
  </si>
  <si>
    <t>Metschnikowia gruessii</t>
  </si>
  <si>
    <t>Metschnikowia koreensis</t>
  </si>
  <si>
    <t>Metschnikowia kunwiensis</t>
  </si>
  <si>
    <t>Metschnikowia similis</t>
  </si>
  <si>
    <t>Ogataea pilisensis</t>
  </si>
  <si>
    <t>Pichia sporocuriosa</t>
  </si>
  <si>
    <t>Yamadazyma paraphyllophila</t>
  </si>
  <si>
    <t>Fusarium chlamydosporum</t>
  </si>
  <si>
    <t>Penicillium glabrum</t>
  </si>
  <si>
    <t>Penicillium brevicompactum</t>
  </si>
  <si>
    <t>Penicillium citrinum</t>
  </si>
  <si>
    <t>Penicillium aurantiogriseum</t>
  </si>
  <si>
    <t>Paecilomyces variotii</t>
  </si>
  <si>
    <t>Hanseniaspora uvarum</t>
  </si>
  <si>
    <t>Penicillium islandicum</t>
  </si>
  <si>
    <t>Talaromyces islandicus</t>
  </si>
  <si>
    <t>Trichothecium roseum</t>
  </si>
  <si>
    <t>Trichoderma harzianum</t>
  </si>
  <si>
    <t>Fusarium equiseti</t>
  </si>
  <si>
    <t>Candida guilliermondii, Pichia guilliermondii</t>
  </si>
  <si>
    <t>Cryomyces antarcticus</t>
  </si>
  <si>
    <t>Friedmanniomyces endolithicus</t>
  </si>
  <si>
    <t>Friedmanniomyces simplex</t>
  </si>
  <si>
    <t>Cryomyces minteri</t>
  </si>
  <si>
    <t>Agaricus blazei</t>
  </si>
  <si>
    <t>Curvularia clavata</t>
  </si>
  <si>
    <t>Bipolaris hawaiiensis</t>
  </si>
  <si>
    <t> Curvularia hawaiiensis </t>
  </si>
  <si>
    <t>Candida atlantica</t>
  </si>
  <si>
    <t>Colletotrichum gloeosporioides</t>
  </si>
  <si>
    <t>Aspergillus japonicus</t>
  </si>
  <si>
    <t>Candida stellata</t>
  </si>
  <si>
    <t>Starmerella stellata</t>
  </si>
  <si>
    <t>Allomyces arbuscula</t>
  </si>
  <si>
    <t>Penicillium verrucosum</t>
  </si>
  <si>
    <t>Phlebiopsis gigantea</t>
  </si>
  <si>
    <t>Penicillium patulum</t>
  </si>
  <si>
    <t>Penicillium commune</t>
  </si>
  <si>
    <t>auricula delicata</t>
  </si>
  <si>
    <t>Emmonsia crescens</t>
  </si>
  <si>
    <t>emergomyces crescens</t>
  </si>
  <si>
    <t>Cladophialophora bantiana</t>
  </si>
  <si>
    <t>Suillus variegatus UH-Sva-Z1 v1.0</t>
  </si>
  <si>
    <t>boletus variegatus</t>
  </si>
  <si>
    <t>Cryptococcus albidus</t>
  </si>
  <si>
    <t>Naganishia kalamii</t>
  </si>
  <si>
    <t>Candida utilis</t>
  </si>
  <si>
    <t>Exophiala alcalophila</t>
  </si>
  <si>
    <t>Fomitiporia punctata</t>
  </si>
  <si>
    <t>Fusarium heterosporum</t>
  </si>
  <si>
    <t>Fusarium poae</t>
  </si>
  <si>
    <t>Fusarium tricinctum</t>
  </si>
  <si>
    <t>Obba rivulosa</t>
  </si>
  <si>
    <t>Ophiostoma montium</t>
  </si>
  <si>
    <t>Volvariella volvacea</t>
  </si>
  <si>
    <t>Agaricus bitorquis</t>
  </si>
  <si>
    <t>https://www.bioline.org.br/pdf?cc09012</t>
  </si>
  <si>
    <t>Hypsizygus marmoreus</t>
  </si>
  <si>
    <t>Pholiota adiposa</t>
  </si>
  <si>
    <t>Lichtheimia hyalospora</t>
  </si>
  <si>
    <t>https://www.mdpi.com/2309-608X/9/3/317</t>
  </si>
  <si>
    <t>Lichtheimia ornata</t>
  </si>
  <si>
    <t>Malassezia sympodia</t>
  </si>
  <si>
    <t>Metschnikowia persimmonesis</t>
  </si>
  <si>
    <t>Mortierella verticillata</t>
  </si>
  <si>
    <t>Absidia corymbifera</t>
  </si>
  <si>
    <t>Mortierella wolfii</t>
  </si>
  <si>
    <t>Corynascus sepedonium</t>
  </si>
  <si>
    <t>Geomyces pannorum</t>
  </si>
  <si>
    <t>Pseudogymnoascus pannorum</t>
  </si>
  <si>
    <t>Dactylomyces thermophilus</t>
  </si>
  <si>
    <t>Saccharomyces guttulata</t>
  </si>
  <si>
    <t>Tuber brumale</t>
  </si>
  <si>
    <t>Fusarium moniliforme</t>
  </si>
  <si>
    <t>Metarhizium ansiopliae var. acridum</t>
  </si>
  <si>
    <t>Phenoliferia glacialis </t>
  </si>
  <si>
    <t xml:space="preserve">Rhizomucor endophyticus </t>
  </si>
  <si>
    <t>Pichia anomola</t>
  </si>
  <si>
    <t>Mucor miehe</t>
  </si>
  <si>
    <t>Zygosaccharomyces lentus</t>
  </si>
  <si>
    <t>Leucosporidium yakuticum</t>
  </si>
  <si>
    <t>Tilletiopsis washingtonensis</t>
  </si>
  <si>
    <t>Bulleromyces albus</t>
  </si>
  <si>
    <t>Bullera alba</t>
  </si>
  <si>
    <t>Fomes fomentarius</t>
  </si>
  <si>
    <t xml:space="preserve"> Cochliobolus sativus</t>
  </si>
  <si>
    <t>cellular organisms; Eukaryota; Opisthokonta; Fungi; Fungi incertae sedis; Mucoromycota; Mucoromycotina; Mucoromycetes; Mucorales; Cunninghamellaceae; Absidia</t>
  </si>
  <si>
    <t>cellular organisms; Eukaryota; Opisthokonta; Fungi; Fungi incertae sedis; Mucoromycota; Mortierellomycotina; Mortierellomycetes; Mortierellales; Mortierellaceae; Actinomortierella</t>
  </si>
  <si>
    <t>cellular organisms; Eukaryota; Opisthokonta; Fungi; Dikarya; Ascomycota; saccharomyceta; Pezizomycotina; leotiomyceta; dothideomyceta; Dothideomycetes; Pleosporomycetidae; Pleosporales; Pleosporineae; Pleosporaceae; Alternaria; Alternaria sect. Alternaria</t>
  </si>
  <si>
    <t>cellular organisms; Eukaryota; Opisthokonta; Fungi; Dikarya; Ascomycota; saccharomyceta; Pezizomycotina; leotiomyceta; sordariomyceta; Leotiomycetes; Helotiales; Helotiales incertae sedis; Amylocarpus</t>
  </si>
  <si>
    <t>cellular organisms; Eukaryota; Opisthokonta; Fungi; Fungi incertae sedis; Mucoromycota; Mucoromycotina; Mucoromycetes; Mucorales; Mucorineae; Mucoraceae; Apophysomyces</t>
  </si>
  <si>
    <t>cellular organisms; Eukaryota; Opisthokonta; Fungi; Dikarya; Ascomycota; saccharomyceta; Pezizomycotina; leotiomyceta; dothideomyceta; Dothideomycetes; Pleosporomycetidae; Pleosporales; Pleosporineae; Didymellaceae; Ascochyta</t>
  </si>
  <si>
    <t>cellular organisms; Eukaryota; Opisthokonta; Fungi; Dikarya; Ascomycota; saccharomyceta; Pezizomycotina; leotiomyceta; Eurotiomycetes; Eurotiomycetidae; Eurotiales; Aspergillaceae; Aspergillus; Aspergillus subgen. Circumdati</t>
  </si>
  <si>
    <t>cellular organisms; Eukaryota; Opisthokonta; Fungi; Dikarya; Ascomycota; saccharomyceta; Pezizomycotina; leotiomyceta; Eurotiomycetes; Eurotiomycetidae; Eurotiales; Aspergillaceae; Aspergillus; Aspergillus subgen. Nidulantes</t>
  </si>
  <si>
    <t>cellular organisms; Eukaryota; Opisthokonta; Fungi; Dikarya; Ascomycota; saccharomyceta; Pezizomycotina; leotiomyceta; Eurotiomycetes; Eurotiomycetidae; Eurotiales; Aspergillaceae; Aspergillus; Aspergillus subgen. Aspergillus</t>
  </si>
  <si>
    <t>cellular organisms; Eukaryota; Opisthokonta; Fungi; Dikarya; Ascomycota; saccharomyceta; Pezizomycotina; leotiomyceta; Eurotiomycetes; Eurotiomycetidae; Eurotiales; Aspergillaceae; Aspergillus; Aspergillus subgen. Fumigati</t>
  </si>
  <si>
    <t>cellular organisms; Eukaryota; Opisthokonta; Fungi; Dikarya; Ascomycota; saccharomyceta; Pezizomycotina; leotiomyceta; Eurotiomycetes; Eurotiomycetidae; Eurotiales; Aspergillaceae; Aspergillus; Aspergillus subgen. Nidulantes; Aspergillus versicolor</t>
  </si>
  <si>
    <t>cellular organisms; Eukaryota; Opisthokonta; Fungi; Dikarya; Ascomycota; saccharomyceta; Pezizomycotina; leotiomyceta; dothideomyceta; Dothideomycetes; Dothideomycetidae; Dothideales; Saccotheciaceae; Aureobasidium</t>
  </si>
  <si>
    <t>cellular organisms; Eukaryota; Opisthokonta; Fungi; Dikarya; Ascomycota; saccharomyceta; Pezizomycotina; leotiomyceta; Eurotiomycetes; Eurotiomycetidae; Onygenales; Ajellomycetaceae; Blastomyces</t>
  </si>
  <si>
    <t>cellular organisms; Eukaryota; Opisthokonta; Fungi; Dikarya; Basidiomycota; Agaricomycotina; Agaricomycetes; Agaricomycetidae; Boletales; Boletineae; Boletaceae; Boletoideae; Boletus</t>
  </si>
  <si>
    <t>cellular organisms; Eukaryota; Opisthokonta; Fungi; Dikarya; Basidiomycota; Agaricomycotina; Agaricomycetes; Agaricomycetes incertae sedis; Russulales; Bondarzewiaceae; Bondarzewia</t>
  </si>
  <si>
    <t>cellular organisms; Eukaryota; Opisthokonta; Fungi; Dikarya; Ascomycota; saccharomyceta; Pezizomycotina; leotiomyceta; sordariomyceta; Leotiomycetes; Helotiales; Sclerotiniaceae; Botrytis</t>
  </si>
  <si>
    <t>cellular organisms; Eukaryota; Opisthokonta; Fungi; Dikarya; Ascomycota; saccharomyceta; Pezizomycotina; leotiomyceta; sordariomyceta; Sordariomycetes; Hypocreomycetidae; Microascales; Ceratocystidaceae; Ceratocystis</t>
  </si>
  <si>
    <t>cellular organisms; Eukaryota; Opisthokonta; Fungi; Dikarya; Ascomycota; saccharomyceta; Pezizomycotina; leotiomyceta; dothideomyceta; Dothideomycetes; Dothideomycetidae; Mycosphaerellales; Mycosphaerellaceae; Cercospora</t>
  </si>
  <si>
    <t>cellular organisms; Eukaryota; Opisthokonta; Fungi; Fungi incertae sedis; Mucoromycota; Mucoromycotina; Mucoromycetes; Mucorales; Mucorineae; Choanephoraceae; Choanephoroideae; Choanephora</t>
  </si>
  <si>
    <t>cellular organisms; Eukaryota; Opisthokonta; Fungi; Dikarya; Ascomycota; saccharomyceta; Pezizomycotina; leotiomyceta; Eurotiomycetes; Chaetothyriomycetidae; Chaetothyriales; Herpotrichiellaceae; Cladophialophora</t>
  </si>
  <si>
    <t>cellular organisms; Eukaryota; Opisthokonta; Fungi; Dikarya; Ascomycota; saccharomyceta; Pezizomycotina; leotiomyceta; sordariomyceta; Sordariomycetes; Hypocreomycetidae; Glomerellales; Glomerellaceae; Colletotrichum; Colletotrichum acutatum species complex</t>
  </si>
  <si>
    <t>cellular organisms; Eukaryota; Opisthokonta; Fungi; Dikarya; Ascomycota; saccharomyceta; Pezizomycotina; leotiomyceta; sordariomyceta; Sordariomycetes; Hypocreomycetidae; Glomerellales; Glomerellaceae; Colletotrichum; Colletotrichum gloeosporioides species complex</t>
  </si>
  <si>
    <t>cellular organisms; Eukaryota; Opisthokonta; Fungi; Dikarya; Ascomycota; saccharomyceta; Pezizomycotina; leotiomyceta; sordariomyceta; Sordariomycetes; Hypocreomycetidae; Glomerellales; Glomerellaceae; Colletotrichum</t>
  </si>
  <si>
    <t>cellular organisms; Eukaryota; Opisthokonta; Fungi; Dikarya; Ascomycota; saccharomyceta; Pezizomycotina; leotiomyceta; sordariomyceta; Sordariomycetes; Hypocreomycetidae; Glomerellales; Glomerellaceae; Colletotrichum; Colletotrichum spaethianum species complex</t>
  </si>
  <si>
    <t>cellular organisms; Eukaryota; Opisthokonta; Fungi; Dikarya; Ascomycota; saccharomyceta; Pezizomycotina; leotiomyceta; sordariomyceta; Sordariomycetes; Hypocreomycetidae; Glomerellales; Glomerellaceae; Colletotrichum; Colletotrichum destructivum species complex</t>
  </si>
  <si>
    <t>cellular organisms; Eukaryota; Opisthokonta; Fungi; Dikarya; Ascomycota; saccharomyceta; Pezizomycotina; leotiomyceta; sordariomyceta; Sordariomycetes; Hypocreomycetidae; Glomerellales; Glomerellaceae; Colletotrichum; Colletotrichum graminicola species complex</t>
  </si>
  <si>
    <t>cellular organisms; Eukaryota; Opisthokonta; Fungi; Dikarya; Ascomycota; saccharomyceta; Pezizomycotina; leotiomyceta; sordariomyceta; Sordariomycetes; Hypocreomycetidae; Glomerellales; Glomerellaceae; Colletotrichum; Colletotrichum orbiculare species complex</t>
  </si>
  <si>
    <t>cellular organisms; Eukaryota; Opisthokonta; Fungi; Dikarya; Ascomycota; saccharomyceta; Pezizomycotina; leotiomyceta; sordariomyceta; Sordariomycetes; Sordariomycetidae; Diaporthales; Schizoparmaceae; Coniella</t>
  </si>
  <si>
    <t>cellular organisms; Eukaryota; Opisthokonta; Fungi; Dikarya; Basidiomycota; Agaricomycotina; Agaricomycetes; Agaricomycetidae; Agaricales; Agaricineae; Psathyrellaceae; Coprinellus</t>
  </si>
  <si>
    <t>cellular organisms; Eukaryota; Opisthokonta; Fungi; Dikarya; Ascomycota; saccharomyceta; Pezizomycotina; leotiomyceta; sordariomyceta; Sordariomycetes; Hypocreomycetidae; Hypocreales; Cordycipitaceae; Cordyceps</t>
  </si>
  <si>
    <t>cellular organisms; Eukaryota; Opisthokonta; Fungi; Dikarya; Ascomycota; saccharomyceta; Pezizomycotina; leotiomyceta; dothideomyceta; Dothideomycetes; Dothideomycetes incertae sedis; Cryomyces</t>
  </si>
  <si>
    <t>cellular organisms; Eukaryota; Opisthokonta; Fungi; Dikarya; Ascomycota; saccharomyceta; Pezizomycotina; leotiomyceta; dothideomyceta; Dothideomycetes; Pleosporomycetidae; Pleosporales; Pleosporineae; Pleosporaceae; Curvularia</t>
  </si>
  <si>
    <t>cellular organisms; Eukaryota; Opisthokonta; Fungi; Dikarya; Basidiomycota; Agaricomycotina; Tremellomycetes; Trichosporonales; Trichosporonaceae; Cutaneotrichosporon</t>
  </si>
  <si>
    <t>cellular organisms; Eukaryota; Opisthokonta; Fungi; Dikarya; Basidiomycota; Agaricomycotina; Agaricomycetes; Agaricomycetidae; Agaricales; Agaricineae; Bolbitiaceae; Cyclocybe</t>
  </si>
  <si>
    <t>cellular organisms; Eukaryota; Opisthokonta; Fungi; Dikarya; Ascomycota; saccharomyceta; Pezizomycotina; leotiomyceta; sordariomyceta; Sordariomycetes; Sordariomycetidae; Diaporthales; Diaporthaceae; Diaporthe</t>
  </si>
  <si>
    <t>cellular organisms; Eukaryota; Opisthokonta; Fungi; Dikarya; Ascomycota; saccharomyceta; Pezizomycotina; leotiomyceta; dothideomyceta; Dothideomycetes; Pleosporomycetidae; Pleosporales; Pleosporineae; Didymellaceae; Didymella</t>
  </si>
  <si>
    <t>cellular organisms; Eukaryota; Opisthokonta; Fungi; Dikarya; Ascomycota; saccharomyceta; Pezizomycotina; leotiomyceta; dothideomyceta; Dothideomycetes; Dothideomycetes incertae sedis; Botryosphaeriales; Botryosphaeriaceae; Diplodia</t>
  </si>
  <si>
    <t>cellular organisms; Eukaryota; Opisthokonta; Fungi; Dikarya; Ascomycota; saccharomyceta; Pezizomycotina; leotiomyceta; dothideomyceta; Dothideomycetes; Dothideomycetidae; Myriangiales; Elsinoaceae; Elsinoe</t>
  </si>
  <si>
    <t>cellular organisms; Eukaryota; Opisthokonta; Fungi; Dikarya; Ascomycota; saccharomyceta; Pezizomycotina; leotiomyceta; Eurotiomycetes; Eurotiomycetidae; Onygenales; Ajellomycetaceae; Emergomyces</t>
  </si>
  <si>
    <t>cellular organisms; Eukaryota; Opisthokonta; Fungi; Dikarya; Ascomycota; saccharomyceta; Pezizomycotina; leotiomyceta; sordariomyceta; Leotiomycetes; Erysiphales; Erysiphaceae; Erysiphe</t>
  </si>
  <si>
    <t>cellular organisms; Eukaryota; Opisthokonta; Fungi; Dikarya; Ascomycota; saccharomyceta; Pezizomycotina; leotiomyceta; Eurotiomycetes; Chaetothyriomycetidae; Chaetothyriales; Herpotrichiellaceae; Exophiala</t>
  </si>
  <si>
    <t>cellular organisms; Eukaryota; Opisthokonta; Fungi; Dikarya; Basidiomycota; Agaricomycotina; Agaricomycetes; Agaricomycetes incertae sedis; Polyporales; Fomitopsidaceae; Fomitopsis</t>
  </si>
  <si>
    <t>cellular organisms; Eukaryota; Opisthokonta; Fungi; Dikarya; Ascomycota; saccharomyceta; Pezizomycotina; leotiomyceta; Eurotiomycetes; Chaetothyriomycetidae; Chaetothyriales; Herpotrichiellaceae; Fonsecaea</t>
  </si>
  <si>
    <t>cellular organisms; Eukaryota; Opisthokonta; Fungi; Dikarya; Ascomycota; saccharomyceta; Pezizomycotina; leotiomyceta; dothideomyceta; Dothideomycetes; Dothideomycetidae; Mycosphaerellales; Teratosphaeriaceae; Friedmanniomyces</t>
  </si>
  <si>
    <t>cellular organisms; Eukaryota; Opisthokonta; Fungi; Dikarya; Ascomycota; saccharomyceta; Pezizomycotina; leotiomyceta; sordariomyceta; Sordariomycetes; Hypocreomycetidae; Hypocreales; Nectriaceae; Fusarium; Fusarium concolor species complex</t>
  </si>
  <si>
    <t>cellular organisms; Eukaryota; Opisthokonta; Fungi; Dikarya; Ascomycota; saccharomyceta; Pezizomycotina; leotiomyceta; sordariomyceta; Sordariomycetes; Hypocreomycetidae; Hypocreales; Nectriaceae; Fusarium; Fusarium burgessii species complex</t>
  </si>
  <si>
    <t>cellular organisms; Eukaryota; Opisthokonta; Fungi; Dikarya; Ascomycota; saccharomyceta; Pezizomycotina; leotiomyceta; sordariomyceta; Sordariomycetes; Hypocreomycetidae; Hypocreales; Nectriaceae; Fusarium; Fusarium solani species complex</t>
  </si>
  <si>
    <t>cellular organisms; Eukaryota; Opisthokonta; Fungi; Dikarya; Ascomycota; saccharomyceta; Pezizomycotina; leotiomyceta; sordariomyceta; Sordariomycetes; Hypocreomycetidae; Hypocreales; Nectriaceae; Fusarium; Fusarium heterosporum species complex</t>
  </si>
  <si>
    <t>cellular organisms; Eukaryota; Opisthokonta; Fungi; Dikarya; Ascomycota; saccharomyceta; Pezizomycotina; leotiomyceta; sordariomyceta; Sordariomycetes; Hypocreomycetidae; Hypocreales; Nectriaceae; Fusarium; Fusarium sambucinum species complex</t>
  </si>
  <si>
    <t>cellular organisms; Eukaryota; Opisthokonta; Fungi; Dikarya; Ascomycota; saccharomyceta; Pezizomycotina; leotiomyceta; sordariomyceta; Sordariomycetes; Hypocreomycetidae; Hypocreales; Nectriaceae; Fusarium</t>
  </si>
  <si>
    <t>cellular organisms; Eukaryota; Opisthokonta; Fungi; Dikarya; Ascomycota; saccharomyceta; Pezizomycotina; leotiomyceta; sordariomyceta; Sordariomycetes; Hypocreomycetidae; Hypocreales; Nectriaceae; Fusarium; Fusarium lateritium species complex</t>
  </si>
  <si>
    <t>cellular organisms; Eukaryota; Opisthokonta; Fungi; Dikarya; Basidiomycota; Agaricomycotina; Agaricomycetes; Agaricomycetes incertae sedis; Polyporales; Grifolaceae; Grifola</t>
  </si>
  <si>
    <t>cellular organisms; Eukaryota; Opisthokonta; Fungi; Dikarya; Basidiomycota; Agaricomycotina; Agaricomycetes; Agaricomycetidae; Agaricales; Agaricineae; Hymenogastraceae; Gymnopilus</t>
  </si>
  <si>
    <t>cellular organisms; Eukaryota; Opisthokonta; Fungi; Dikarya; Basidiomycota; Agaricomycotina; Agaricomycetes; Agaricomycetes incertae sedis; Russulales; Hericiaceae; Hericium</t>
  </si>
  <si>
    <t>cellular organisms; Eukaryota; Opisthokonta; Fungi; Dikarya; Basidiomycota; Agaricomycotina; Agaricomycetes; Agaricomycetidae; Agaricales; Tricholomatineae; Lyophyllaceae; Hypsizygus</t>
  </si>
  <si>
    <t>cellular organisms; Eukaryota; Opisthokonta; Fungi; Dikarya; Basidiomycota; Agaricomycotina; Agaricomycetes; Agaricomycetidae; Agaricales; Marasmiineae; Omphalotaceae; Lentinula</t>
  </si>
  <si>
    <t>cellular organisms; Eukaryota; Opisthokonta; Fungi; Dikarya; Ascomycota; saccharomyceta; Pezizomycotina; leotiomyceta; sordariomyceta; Sordariomycetes; Sordariomycetidae; Sordariales; Sordariales incertae sedis; Madurella</t>
  </si>
  <si>
    <t>cellular organisms; Eukaryota; Opisthokonta; Fungi; Dikarya; Basidiomycota; Ustilaginomycotina; Malasseziomycetes; Malasseziales; Malasseziaceae; Malassezia</t>
  </si>
  <si>
    <t>cellular organisms; Eukaryota; Opisthokonta; Fungi; Dikarya; Ascomycota; saccharomyceta; Pezizomycotina; leotiomyceta; sordariomyceta; Sordariomycetes; Xylariomycetidae; Xylariales; Microdochiaceae; Microdochium</t>
  </si>
  <si>
    <t>cellular organisms; Eukaryota; Opisthokonta; Fungi; Dikarya; Ascomycota; saccharomyceta; Pezizomycotina; leotiomyceta; sordariomyceta; Leotiomycetes; Helotiales; Sclerotiniaceae; Monilinia</t>
  </si>
  <si>
    <t>cellular organisms; Eukaryota; Opisthokonta; Fungi; Fungi incertae sedis; Mucoromycota; Mucoromycotina; Mucoromycetes; Mucorales; Mucorineae; Mucoraceae; Mucor</t>
  </si>
  <si>
    <t>cellular organisms; Eukaryota; Opisthokonta; Fungi; Dikarya; Basidiomycota; Agaricomycotina; Tremellomycetes; Tremellales; Naemateliaceae; Naematelia</t>
  </si>
  <si>
    <t>cellular organisms; Eukaryota; Opisthokonta; Fungi; Dikarya; Ascomycota; saccharomyceta; Pezizomycotina; leotiomyceta; sordariomyceta; Sordariomycetes; Hypocreomycetidae; Hypocreales; Nectriaceae; Neonectria</t>
  </si>
  <si>
    <t>cellular organisms; Eukaryota; Opisthokonta; Fungi; Dikarya; Basidiomycota; Agaricomycotina; Agaricomycetes; Agaricomycetes incertae sedis; Polyporales; Gelatoporiaceae; Obba</t>
  </si>
  <si>
    <t>cellular organisms; Eukaryota; Opisthokonta; Fungi; Dikarya; Ascomycota; saccharomyceta; Pezizomycotina; leotiomyceta; sordariomyceta; Sordariomycetes; Hypocreomycetidae; Hypocreales; Ophiocordycipitaceae; Ophiocordyceps</t>
  </si>
  <si>
    <t>cellular organisms; Eukaryota; Opisthokonta; Fungi; Dikarya; Ascomycota; saccharomyceta; Pezizomycotina; leotiomyceta; Eurotiomycetes; Eurotiomycetidae; Eurotiales; Aspergillaceae; Penicillium</t>
  </si>
  <si>
    <t>cellular organisms; Eukaryota; Opisthokonta; Fungi; Dikarya; Ascomycota; Taphrinomycotina; Pneumocystomycetes; Pneumocystales; Pneumocystaceae; Pneumocystis</t>
  </si>
  <si>
    <t>cellular organisms; Eukaryota; Opisthokonta; Fungi; Fungi incertae sedis; Mucoromycota; Mortierellomycotina; Mortierellomycetes; Mortierellales; Mortierellaceae; Podila</t>
  </si>
  <si>
    <t>cellular organisms; Eukaryota; Opisthokonta; Fungi; Dikarya; Ascomycota; saccharomyceta; Pezizomycotina; leotiomyceta; dothideomyceta; Dothideomycetes; Dothideomycetidae; Mycosphaerellales; Mycosphaerellaceae; Pseudocercospora</t>
  </si>
  <si>
    <t>cellular organisms; Eukaryota; Opisthokonta; Fungi; Dikarya; Ascomycota; saccharomyceta; Pezizomycotina; leotiomyceta; sordariomyceta; Sordariomycetes; Hypocreomycetidae; Hypocreales; Ophiocordycipitaceae; Purpureocillium</t>
  </si>
  <si>
    <t>cellular organisms; Eukaryota; Opisthokonta; Fungi; Dikarya; Basidiomycota; Agaricomycotina; Agaricomycetes; Agaricomycetidae; Boletales; Suillineae; Rhizopogonaceae; Rhizopogon</t>
  </si>
  <si>
    <t>cellular organisms; Eukaryota; Opisthokonta; Fungi; Fungi incertae sedis; Mucoromycota; Mucoromycotina; Mucoromycetes; Mucorales; Mucorineae; Rhizopodaceae; Rhizopus</t>
  </si>
  <si>
    <t>cellular organisms; Eukaryota; Opisthokonta; Fungi; Dikarya; Basidiomycota; Agaricomycotina; Agaricomycetes; Agaricomycetes incertae sedis; Russulales; Russulaceae; Russula</t>
  </si>
  <si>
    <t>cellular organisms; Eukaryota; Opisthokonta; Fungi; Dikarya; Ascomycota; saccharomyceta; Pezizomycotina; leotiomyceta; sordariomyceta; Leotiomycetes; Helotiales; Sclerotiniaceae; Sclerotinia</t>
  </si>
  <si>
    <t>cellular organisms; Eukaryota; Opisthokonta; Fungi; Dikarya; Ascomycota; saccharomyceta; Pezizomycotina; leotiomyceta; dothideomyceta; Dothideomycetes; Dothideomycetidae; Mycosphaerellales; Mycosphaerellaceae; Septoria</t>
  </si>
  <si>
    <t>cellular organisms; Eukaryota; Opisthokonta; Fungi; Fungi incertae sedis; Chytridiomycota; Chytridiomycota incertae sedis; Chytridiomycetes; Synchytriales; Synchytriaceae; Synchytrium</t>
  </si>
  <si>
    <t>cellular organisms; Eukaryota; Opisthokonta; Fungi; Dikarya; Ascomycota; saccharomyceta; Pezizomycotina; leotiomyceta; Eurotiomycetes; Eurotiomycetidae; Eurotiales; Trichocomaceae; Talaromyces; Talaromyces sect. Islandici</t>
  </si>
  <si>
    <t>cellular organisms; Eukaryota; Opisthokonta; Fungi; Fungi incertae sedis; Mucoromycota; Mucoromycotina; Mucoromycetes; Mucorales; Mucorineae; Mucoraceae; Thamnidium</t>
  </si>
  <si>
    <t>cellular organisms; Eukaryota; Opisthokonta; Fungi; Dikarya; Basidiomycota; Agaricomycotina; Agaricomycetes; Agaricomycetes incertae sedis; Thelephorales; Thelephoraceae; Thelephora</t>
  </si>
  <si>
    <t>cellular organisms; Eukaryota; Opisthokonta; Fungi; Dikarya; Ascomycota; saccharomyceta; Pezizomycotina; leotiomyceta; sordariomyceta; Sordariomycetes; Hypocreomycetidae; Microascales; Ceratocystidaceae; Thielaviopsis</t>
  </si>
  <si>
    <t>cellular organisms; Eukaryota; Opisthokonta; Fungi; Dikarya; Basidiomycota; Ustilaginomycotina; Exobasidiomycetes; Tilletiales; Tilletiaceae; Tilletia</t>
  </si>
  <si>
    <t>cellular organisms; Eukaryota; Opisthokonta; Fungi; Dikarya; Basidiomycota; Ustilaginomycotina; Exobasidiomycetes; Entylomatales; Entylomatales incertae sedis; Tilletiopsis</t>
  </si>
  <si>
    <t>cellular organisms; Eukaryota; Opisthokonta; Fungi; Dikarya; Ascomycota; saccharomyceta; Pezizomycotina; leotiomyceta; sordariomyceta; Sordariomycetes; Hypocreomycetidae; Hypocreales; Ophiocordycipitaceae; Tolypocladium</t>
  </si>
  <si>
    <t>cellular organisms; Eukaryota; Opisthokonta; Fungi; Dikarya; Basidiomycota; Agaricomycotina; Agaricomycetes; Agaricomycetes incertae sedis; Polyporales; Polyporaceae; Trametes</t>
  </si>
  <si>
    <t>cellular organisms; Eukaryota; Opisthokonta; Fungi; Dikarya; Ascomycota; saccharomyceta; Pezizomycotina; leotiomyceta; sordariomyceta; Sordariomycetes; Hypocreomycetidae; Hypocreales; Clavicipitaceae; Ustilaginoidea</t>
  </si>
  <si>
    <t>cellular organisms; Eukaryota; Opisthokonta; Fungi; Dikarya; Basidiomycota; Ustilaginomycotina; Ustilaginomycetes; Ustilaginales; Ustilaginaceae; Ustilago</t>
  </si>
  <si>
    <t>cellular organisms; Eukaryota; Opisthokonta; Fungi; Dikarya; Ascomycota; saccharomyceta; Pezizomycotina; leotiomyceta; sordariomyceta; Sordariomycetes; Sordariomycetidae; Diaporthales; Valsaceae; Valsa</t>
  </si>
  <si>
    <t>cellular organisms; Eukaryota; Opisthokonta; Fungi; Dikarya; Ascomycota; saccharomyceta; Pezizomycotina; leotiomyceta; dothideomyceta; Dothideomycetes; Pleosporomycetidae; Venturiales; Venturiaceae; Venturia</t>
  </si>
  <si>
    <t>cellular organisms; Eukaryota; Opisthokonta; Fungi; Dikarya; Ascomycota; saccharomyceta; Pezizomycotina; leotiomyceta; dothideomyceta; Dothideomycetes; Pleosporomycetidae; Venturiales; Sympoventuriaceae; Verruconis</t>
  </si>
  <si>
    <t>cellular organisms; Eukaryota; Opisthokonta; Fungi; Dikarya; Ascomycota; saccharomyceta; Pezizomycotina; leotiomyceta; sordariomyceta; Sordariomycetes; Hypocreomycetidae; Glomerellales; Plectosphaerellaceae; Verticillium</t>
  </si>
  <si>
    <t>cellular organisms; Eukaryota; Opisthokonta; Fungi; Dikarya; Ascomycota; saccharomyceta; Pezizomycotina; leotiomyceta; sordariomyceta; Sordariomycetes; Xylariomycetidae; Xylariales; Xylariaceae; Xylaria</t>
  </si>
  <si>
    <t>cellular organisms; Eukaryota; Opisthokonta; Fungi; Dikarya; Ascomycota; saccharomyceta; Pezizomycotina; leotiomyceta; dothideomyceta; Dothideomycetes; Dothideomycetidae; Mycosphaerellales; Mycosphaerellaceae; Zymoseptoria</t>
  </si>
  <si>
    <t>Absidia glauca</t>
  </si>
  <si>
    <t>Amylocarpus encephaloides</t>
  </si>
  <si>
    <t>Apophysomyces ossiformis</t>
  </si>
  <si>
    <t xml:space="preserve">Arthrobotrys oligospora </t>
  </si>
  <si>
    <t>Ascochyta lentis</t>
  </si>
  <si>
    <t>Aspergillus calidoustus</t>
  </si>
  <si>
    <t>Aspergillus candidus</t>
  </si>
  <si>
    <t>Aspergillus coremiiformis</t>
  </si>
  <si>
    <t>Aspergillus felis</t>
  </si>
  <si>
    <t xml:space="preserve">Aspergillus sclerotioniger </t>
  </si>
  <si>
    <t>Aureobasidium melanogenum</t>
  </si>
  <si>
    <t xml:space="preserve">Aureobasidium subglaciale </t>
  </si>
  <si>
    <t>Bondarzewia mesenterica</t>
  </si>
  <si>
    <t>Botryosphaeria dothidea</t>
  </si>
  <si>
    <t xml:space="preserve">Botryosphaeria parva </t>
  </si>
  <si>
    <t>Byssochlamys spectabilis</t>
  </si>
  <si>
    <t>Candida boidinii</t>
  </si>
  <si>
    <t xml:space="preserve">Capronia coronata </t>
  </si>
  <si>
    <t xml:space="preserve">Colletotrichum fioriniae </t>
  </si>
  <si>
    <t xml:space="preserve">Colletotrichum fructicola </t>
  </si>
  <si>
    <t>Colletotrichum liriopes</t>
  </si>
  <si>
    <t>Colletotrichum lupini</t>
  </si>
  <si>
    <t>Coprinellus micaceus</t>
  </si>
  <si>
    <t xml:space="preserve">Macrophomina phaseolina </t>
  </si>
  <si>
    <t>Malassezia vespertilionis</t>
  </si>
  <si>
    <t xml:space="preserve">Marssonina brunnea </t>
  </si>
  <si>
    <t xml:space="preserve">Metarhizium majus </t>
  </si>
  <si>
    <t xml:space="preserve">Metschnikowia bicuspidata </t>
  </si>
  <si>
    <t>Metschnikowia pulcherrima</t>
  </si>
  <si>
    <t>Microdochium bolleyi</t>
  </si>
  <si>
    <t xml:space="preserve">Moelleriella libera </t>
  </si>
  <si>
    <t>Monascus purpureus</t>
  </si>
  <si>
    <t>Monilinia fructicola</t>
  </si>
  <si>
    <t>Monilinia laxa</t>
  </si>
  <si>
    <t>Mucor ambiguus</t>
  </si>
  <si>
    <t xml:space="preserve">Myriangium duriaei </t>
  </si>
  <si>
    <t>Naganishia liquefaciens</t>
  </si>
  <si>
    <t xml:space="preserve">Neurospora tetrasperma </t>
  </si>
  <si>
    <t>Penicillium angulare</t>
  </si>
  <si>
    <t>Penicillium capsulatum</t>
  </si>
  <si>
    <t>Penicillium olsonii</t>
  </si>
  <si>
    <t>Penicillium salamii</t>
  </si>
  <si>
    <t xml:space="preserve">Phaeoacremonium minimum </t>
  </si>
  <si>
    <t>Phaeomoniella chlamydospora</t>
  </si>
  <si>
    <t xml:space="preserve">Pochonia chlamydosporia </t>
  </si>
  <si>
    <t>Rhizopus microsporus</t>
  </si>
  <si>
    <t xml:space="preserve">Rhodosporidium toruloides </t>
  </si>
  <si>
    <t>Sclerotinia nivalis</t>
  </si>
  <si>
    <t xml:space="preserve">Sordaria macrospora </t>
  </si>
  <si>
    <t>Talaromyces amestolkiae</t>
  </si>
  <si>
    <t>Thamnidium elegans</t>
  </si>
  <si>
    <t>Thelephora terrestris</t>
  </si>
  <si>
    <t>Ustilaginoidea virens</t>
  </si>
  <si>
    <t xml:space="preserve">Valsa mali </t>
  </si>
  <si>
    <t>Valsa sordida</t>
  </si>
  <si>
    <t>Exophiala spinifera</t>
  </si>
  <si>
    <t xml:space="preserve">Fonsecaea multimorphosa </t>
  </si>
  <si>
    <t>Fusarium beomiforme</t>
  </si>
  <si>
    <t>Fusarium oligoseptatum</t>
  </si>
  <si>
    <t>Fusarium redolens</t>
  </si>
  <si>
    <t>Gymnopilus junonius</t>
  </si>
  <si>
    <t>Hericium alpestre</t>
  </si>
  <si>
    <t>Hymenoscyphus fraxineus</t>
  </si>
  <si>
    <t xml:space="preserve">Hypocrea atroviridis </t>
  </si>
  <si>
    <t>Lasiodiplodia theobromae</t>
  </si>
  <si>
    <t xml:space="preserve">Lentinus tigrinus </t>
  </si>
  <si>
    <t>Aspergillus japonicus Saito 1906</t>
  </si>
  <si>
    <t>Neolentinus lepideus, eolentinus lepideus</t>
  </si>
  <si>
    <t>Agaricus rodmani.</t>
  </si>
  <si>
    <t>Aspergillus parasiticus Speare 1912</t>
  </si>
  <si>
    <t>Passalora fulva </t>
  </si>
  <si>
    <t>Gibberella zeae</t>
  </si>
  <si>
    <t>poria subvermispora, Ceriporiopsis subvermispora</t>
  </si>
  <si>
    <t>Magnaporthe oryzae. Magnaporthe grisea</t>
  </si>
  <si>
    <t>Pichia sorbitophila</t>
  </si>
  <si>
    <t>Candida frigida, mrakia frigida</t>
  </si>
  <si>
    <t>Thermothielavioides terrestris</t>
  </si>
  <si>
    <t>Akanthomyces lecanii  Verticillium lecanii</t>
  </si>
  <si>
    <t>Madurella fahalii</t>
  </si>
  <si>
    <t>Apophysomyces variabilis</t>
  </si>
  <si>
    <t>Apophysomyces trapeziformis</t>
  </si>
  <si>
    <t>Apophysomyces elegans</t>
  </si>
  <si>
    <t>https://link.springer.com/article/10.1186/s43008-023-00120-x</t>
  </si>
  <si>
    <t>https://link.springer.com/article/10.1007/s00792-019-01146-z</t>
  </si>
  <si>
    <t>Aspergillus insuetus</t>
  </si>
  <si>
    <t>Aspergillus ochraceus</t>
  </si>
  <si>
    <t>Aspergillus campestris</t>
  </si>
  <si>
    <t>Aspergillus neotritici</t>
  </si>
  <si>
    <t>Aspergillus subalbidus</t>
  </si>
  <si>
    <t>Aspergillus taichungensis</t>
  </si>
  <si>
    <t>Aspergillus  fumigatiaffinis</t>
  </si>
  <si>
    <t>Aspergillus  caespitosus</t>
  </si>
  <si>
    <t>https://www.scielo.br/j/bjm/a/KP6N3FdpK3ytNSwHvQqDr3F/?lang=en#</t>
  </si>
  <si>
    <t>Blastomyces emzantsi</t>
  </si>
  <si>
    <t>Exophiala angulospora</t>
  </si>
  <si>
    <t>Colletotrichum nymphaeae</t>
  </si>
  <si>
    <t>Colletotrichum aenigma</t>
  </si>
  <si>
    <t>Colletotrichum godetiae</t>
  </si>
  <si>
    <t>Kabatiella zeae</t>
  </si>
  <si>
    <t>Cyclocybe cylindracea, Cyclocybe aegerita</t>
  </si>
  <si>
    <t>https://link.springer.com/chapter/10.1007/978-3-319-29137-6_5</t>
  </si>
  <si>
    <t>Exophiala viscosa</t>
  </si>
  <si>
    <t>https://www.jstage.jst.go.jp/article/jjmm1960/27/4/27_4_245/_pdf/-char/ja</t>
  </si>
  <si>
    <t>Aspergillus amstelodami</t>
  </si>
  <si>
    <t>Neocosmospora metavorans,</t>
  </si>
  <si>
    <t>Monascus ruber</t>
  </si>
  <si>
    <t>Mucor piriformis</t>
  </si>
  <si>
    <t>Penicillium citreonigrum</t>
  </si>
  <si>
    <t>Artomyces pyxidatus</t>
  </si>
  <si>
    <t>Gloeostereum incarnatum</t>
  </si>
  <si>
    <t>Hericium coralloides</t>
  </si>
  <si>
    <t>Hypholoma lateritium</t>
  </si>
  <si>
    <t>Oudemansiella mucida</t>
  </si>
  <si>
    <t>Hericium erinaceus</t>
  </si>
  <si>
    <t>Chalara fraxinea</t>
  </si>
  <si>
    <t>Incumbomyces delicatus</t>
  </si>
  <si>
    <t>Incumbomyces lentus</t>
  </si>
  <si>
    <t>Suillus grevillei</t>
  </si>
  <si>
    <t>Diplodia mutila</t>
  </si>
  <si>
    <t>Biatriospora mackinnonii</t>
  </si>
  <si>
    <t>Nigrograna mackinnonii</t>
  </si>
  <si>
    <t>Candida pulcherrima</t>
  </si>
  <si>
    <t>https://www.mdpi.com/1420-3049/27/6/1855</t>
  </si>
  <si>
    <t>Microdochium nivale</t>
  </si>
  <si>
    <t>https://www.sciencedirect.com/science/article/pii/S0944501319306159</t>
  </si>
  <si>
    <t>Mrakia aquatica</t>
  </si>
  <si>
    <t>Rhizopus chinensis, Rhizopus bovinus</t>
  </si>
  <si>
    <t>Paecilomyces fulvus</t>
  </si>
  <si>
    <t>Byssochlamys fulva</t>
  </si>
  <si>
    <t>Byssochlamys nivea</t>
  </si>
  <si>
    <t>Absidia hyalospora</t>
  </si>
  <si>
    <t>reciprocal</t>
  </si>
  <si>
    <t>Phaeoacremonium aleophilum</t>
  </si>
  <si>
    <t xml:space="preserve">Leiotrametes menziesii </t>
  </si>
  <si>
    <t>Trametes menziesii,</t>
  </si>
  <si>
    <t>Trametes cervina</t>
  </si>
  <si>
    <t>Trametes cingulata</t>
  </si>
  <si>
    <t>https://link.springer.com/article/10.1186/1471-2180-12-251</t>
  </si>
  <si>
    <t>Sarocladium terricola</t>
  </si>
  <si>
    <t>Penicillium roqueforti</t>
  </si>
  <si>
    <t>Recurvomyces mirabilis</t>
  </si>
  <si>
    <t>https://www.proquest.com/docview/2021101089?pq-origsite=gscholar&amp;fromopenview=true&amp;sourcetype=Dissertations%20&amp;%20Theses</t>
  </si>
  <si>
    <t>Trametes hirsuta</t>
  </si>
  <si>
    <t>Coriolus hirsutus</t>
  </si>
  <si>
    <t>Auricularia auricula-judae</t>
  </si>
  <si>
    <t>Hymenopellis radicata</t>
  </si>
  <si>
    <t>Neofusicoccum parvum</t>
  </si>
  <si>
    <t>Sodiomyces alcalophilus (G. Okada) Giraldo López &amp; Crous 2019</t>
  </si>
  <si>
    <t>Agaricus bisporus (J.E. Lange) Imbach 1946</t>
  </si>
  <si>
    <t>Agaricus bitorquis (Quél.) Sacc. 1887</t>
  </si>
  <si>
    <t>Agaricus blazei Murrill 1945</t>
  </si>
  <si>
    <t>Cyclocybe cylindracea (DC.) Vizzini &amp; Angelini 2014</t>
  </si>
  <si>
    <t>Allomyces arbusculus E.J. Butler 1911</t>
  </si>
  <si>
    <t>Allomyces macrogynus (R. Emers.) R. Emers. &amp; C.M. Wilson 1954</t>
  </si>
  <si>
    <t>Alternaria alternata (Fr.) Keissl. 1912</t>
  </si>
  <si>
    <t>Alternaria arborescens E.G. Simmons 1999</t>
  </si>
  <si>
    <t>Alternaria brassicicola (Schwein.) Wiltshire 1947</t>
  </si>
  <si>
    <t>Alternaria solani Sorauer 1896</t>
  </si>
  <si>
    <t>Amanita muscaria (L.) Lam. 1783</t>
  </si>
  <si>
    <t>Amanita pseudoporphyria Hongo 1957</t>
  </si>
  <si>
    <t>Amanita rubescens Pers. 1797</t>
  </si>
  <si>
    <t>Amorphotheca resinae Parbery 1969</t>
  </si>
  <si>
    <t>Armillaria mellea (Vahl) P. Kumm. 1871</t>
  </si>
  <si>
    <t>Kazachstania telluris (Van der Walt) Kurtzman 2003</t>
  </si>
  <si>
    <t>Ascosphaera apis (Maaßen ex Claussen) L.S. Olive &amp; Spiltoir 1955</t>
  </si>
  <si>
    <t>Aspergillus awamori Nakaz. 1907</t>
  </si>
  <si>
    <t>Aspergillus carbonarius (Bainier) Thom 1916</t>
  </si>
  <si>
    <t>Aspergillus chevalieri (L. Mangin) Thom &amp; Church 1926</t>
  </si>
  <si>
    <t>Neosartorya clavata (Desm.) Pitt &amp; A.D. Hocking 2022</t>
  </si>
  <si>
    <t>Aspergillus fischeri Wehmer 1907</t>
  </si>
  <si>
    <t>Aspergillus flavus Link 1809</t>
  </si>
  <si>
    <t>Aspergillus fumigatus Fresen. 1863</t>
  </si>
  <si>
    <t>Aspergillus glaucus (L.) Link 1809</t>
  </si>
  <si>
    <t>Aspergillus nidulans (Eidam) G. Winter 1884</t>
  </si>
  <si>
    <t>Aspergillus niger Tiegh. 1867</t>
  </si>
  <si>
    <t>Emericella sydowii (Bainier &amp; Sartory) Pitt &amp; A.D. Hocking 2022</t>
  </si>
  <si>
    <t>Aspergillus terreus Thom 1918</t>
  </si>
  <si>
    <t>Aspergillus tubingensis Mosseray 1934</t>
  </si>
  <si>
    <t>Aspergillus udagawae Y. Horie, Miyaji &amp; Nishim. 1995</t>
  </si>
  <si>
    <t>Emericella versicolor (Vuill.) Pitt &amp; A.D. Hocking 2022</t>
  </si>
  <si>
    <t>Atkinsonella texensis (Diehl) Leuchtm. &amp; Clay 1989</t>
  </si>
  <si>
    <t>Aureobasidium pullulans (de Bary &amp; Löwenthal) G. Arnaud 1918</t>
  </si>
  <si>
    <t>Auricularia nigricans (Sw.) Birkebak, Looney &amp; Sánchez-García 2013</t>
  </si>
  <si>
    <t>Auricularia subglabra Looney, Birkebak &amp; Matheny 2013</t>
  </si>
  <si>
    <t>Beauveria bassiana (Bals.-Criv.) Vuill. 1912</t>
  </si>
  <si>
    <t>Beauveria brongniartii (Sacc.) Petch 1926</t>
  </si>
  <si>
    <t>Curvularia hawaiiensis (Bugnic. ex M.B. Ellis) Manamgoda, L. Cai &amp; K.D. Hyde 2012</t>
  </si>
  <si>
    <t>Cochliobolus heterostrophus (Drechsler) Drechsler 1934</t>
  </si>
  <si>
    <t>Bipolaris zeicola (G.L. Stout) Shoemaker 1959</t>
  </si>
  <si>
    <t>Bjerkandera adusta (Willd.) P. Karst. 1879</t>
  </si>
  <si>
    <t>Zymonema dermatitidis (Gilchrist &amp; W.R. Stokes) C.W. Dodge 1935</t>
  </si>
  <si>
    <t>Blastomyces parvus (C.W. Emmons &amp; Ashburn) Y.P. Jiang, Sigler &amp; de Hoog 2018</t>
  </si>
  <si>
    <t>Blastomyces percusus Dukik, J.F. Muñoz, Sigler &amp; de Hoog 2017</t>
  </si>
  <si>
    <t>Blastomyces silverae Y.P. Jiang, Sigler &amp; de Hoog 2018</t>
  </si>
  <si>
    <t>Blumeria graminis (DC.) Speer 1975</t>
  </si>
  <si>
    <t>Boletus edulis Bull. 1782</t>
  </si>
  <si>
    <t>Botrytis cinerea Pers. 1801</t>
  </si>
  <si>
    <t>Botrytis elliptica (Berk.) Cooke 1901</t>
  </si>
  <si>
    <t>Botrytis fragariae C. Plesken, M. Hahn &amp; R.W.S. Weber 2017</t>
  </si>
  <si>
    <t>Dekkera bruxellensis Van der Walt 1964</t>
  </si>
  <si>
    <t>Bullera alba (W.F. Hanna) Derx 1930</t>
  </si>
  <si>
    <t>Cadophora malorum (Kidd &amp; Beaumont) W. Gams 2000</t>
  </si>
  <si>
    <t>Calcarisporiella thermophila (H.C. Evans) de Hoog 1974</t>
  </si>
  <si>
    <t>Candida albicans (C.P. Robin) Berkhout 1923</t>
  </si>
  <si>
    <t>Kodamaea arcana (S.O. Suh &amp; M. Blackw.) C.Y. Chai &amp; F.L. Hui 2022</t>
  </si>
  <si>
    <t>Candida asparagi F.Y. Bai &amp; H.Z. Lu 2004</t>
  </si>
  <si>
    <t>Teunomyces atbi (S.O. Suh, N.H. Nguyen &amp; M. Blackw.) Kurtzman &amp; M. Blackw. 2016</t>
  </si>
  <si>
    <t>Candida atlantica (Siepmann) S.A. Mey. &amp; Simione 1998</t>
  </si>
  <si>
    <t>Candida auris Satoh &amp; Makimura 2009</t>
  </si>
  <si>
    <t>Candida blattae N.H. Nguyen, S.O. Suh &amp; M. Blackw. 2008</t>
  </si>
  <si>
    <t>Candida blattariae S.O. Suh, N.H. Nguyen &amp; M. Blackw. 2005</t>
  </si>
  <si>
    <t>Candida bohioensis S.O. Suh, N.H. Nguyen &amp; M. Blackw. 2008</t>
  </si>
  <si>
    <t>Suhomyces bokatorum (S.O. Suh &amp; M. Blackw.) M. Blackw. &amp; Kurtzman 2016</t>
  </si>
  <si>
    <t>Suhomyces bribrorum (S.O. Suh &amp; M. Blackw.) M. Blackw. &amp; Kurtzman 2016</t>
  </si>
  <si>
    <t>Suhomyces chickasaworum (S.O. Suh &amp; M. Blackw.) M. Blackw. &amp; Kurtzman 2016</t>
  </si>
  <si>
    <t>Suhomyces choctaworum (S.O. Suh &amp; M. Blackw.) M. Blackw. &amp; Kurtzman 2016</t>
  </si>
  <si>
    <t>Kodamaea derodonti (S.O. Suh &amp; M. Blackw.) C.Y. Chai &amp; F.L. Hui 2022</t>
  </si>
  <si>
    <t>Candida diospyri F.Y. Bai &amp; H.Z. Lu 2004</t>
  </si>
  <si>
    <t>Meyerozyma elateridarum (S.O. Suh &amp; M. Blackw.) Yurkov &amp; G. Péter 2017</t>
  </si>
  <si>
    <t>Suhomyces emberorum (S.O. Suh &amp; M. Blackw.) M. Blackw. &amp; Kurtzman 2016</t>
  </si>
  <si>
    <t>Kurtzmaniella fragi (M. Suzuki, Nakase &amp; Fukaz.) C.A. Rosa, Casareg. &amp; Lachance 2019</t>
  </si>
  <si>
    <t>Candida gigantensis S.O. Suh, N.H. Nguyen &amp; M. Blackw. 2008</t>
  </si>
  <si>
    <t>Suhomyces guaymorum (S.O. Suh &amp; M. Blackw.) M. Blackw. &amp; Kurtzman 2016</t>
  </si>
  <si>
    <t>Kuraishia hungarica (G. Péter, Tornai-Leh., Fülöp &amp; Dlauchy) Kurtzman &amp; Robnett 2014</t>
  </si>
  <si>
    <t>Suhomyces kunorum (S.O. Suh &amp; M. Blackw.) M. Blackw. &amp; Kurtzman 2016</t>
  </si>
  <si>
    <t>Teunomyces lycoperdinae (S.O. Suh, N.H. Nguyen &amp; M. Blackw.) Kurtzman &amp; M. Blackw. 2016</t>
  </si>
  <si>
    <t>Kluyveromyces marxianus (E.C. Hansen) Van der Walt 1971</t>
  </si>
  <si>
    <t>Candida maltosa Komag., Nakase &amp; Katsuya 1964</t>
  </si>
  <si>
    <t>Candida michaelii S.O. Suh, N.H. Nguyen &amp; M. Blackw. 2005</t>
  </si>
  <si>
    <t>Teunomyces pallodes (S.O. Suh, N.H. Nguyen &amp; M. Blackw.) Kurtzman &amp; M. Blackw. 2016</t>
  </si>
  <si>
    <t>Teunomyces panamensis (S.O. Suh, N.H. Nguyen &amp; M. Blackw.) Kurtzman &amp; M. Blackw. 2016</t>
  </si>
  <si>
    <t>Suhomyces panamericanus (S.O. Suh &amp; M. Blackw.) M. Blackw. &amp; Kurtzman 2016</t>
  </si>
  <si>
    <t>Candida parapsilosis (Ashford) Langeron &amp; Talice 1932</t>
  </si>
  <si>
    <t>Metschnikowia picachoensis (S.O. Suh, C.M. Gibson &amp; M. Blackw.) Kurtzman, Robnett &amp; Basehoar 2018</t>
  </si>
  <si>
    <t>Metschnikowia pimensis (S.O. Suh, C.M. Gibson &amp; M. Blackw.) Kurtzman, Robnett &amp; Basehoar 2018</t>
  </si>
  <si>
    <t>Candida qinlingensis F.Y. Bai &amp; H.Z. Lu 2004</t>
  </si>
  <si>
    <t>Scheffersomyces shehatae (H.R. Buckley &amp; Uden) H. Urbina &amp; M. Blackw. 2012</t>
  </si>
  <si>
    <t>Starmerella stellata (Kroemer &amp; Krumbholz) C.A. Rosa &amp; Lachance 2018</t>
  </si>
  <si>
    <t>Candida suzukii G. Péter, Tornai-Leh., Fülöp &amp; Dlauchy 2003</t>
  </si>
  <si>
    <t>Yamadazyma tenuis (Diddens &amp; Lodder) M.A.B. Haase, Kominek, Q.K. Langdon, Kurtzman &amp; Hittinger 2017</t>
  </si>
  <si>
    <t>Suhomyces terraborum (S.O. Suh &amp; M. Blackw.) M. Blackw. &amp; Kurtzman 2016</t>
  </si>
  <si>
    <t>Teunomyces tritomae (S.O. Suh, N.H. Nguyen &amp; M. Blackw.) Kurtzman &amp; M. Blackw. 2016</t>
  </si>
  <si>
    <t>Candida tropicalis (Castell.) Berkhout 1923</t>
  </si>
  <si>
    <t>Candida viswanathii Sandu &amp; H.S. Randhawa 1962</t>
  </si>
  <si>
    <t>Suhomyces wounanorum (S.O. Suh &amp; M. Blackw.) M. Blackw. &amp; Kurtzman 2016</t>
  </si>
  <si>
    <t>Suhomyces yuchorum (S.O. Suh &amp; M. Blackw.) M. Blackw. &amp; Kurtzman 2016</t>
  </si>
  <si>
    <t>Cantharellus cibarius Fr. 1821</t>
  </si>
  <si>
    <t>Catenaria anguillulae Sorokin 1876</t>
  </si>
  <si>
    <t>Cenococcum graniforme (Sowerby) Ferd. &amp; Winge 1925</t>
  </si>
  <si>
    <t>Ceratocystis fimbriata Ellis &amp; Halst. 1890</t>
  </si>
  <si>
    <t>Chaetomium globosum Kunze 1817</t>
  </si>
  <si>
    <t>Chaetomium olivicolor K. Rodr., Stchigel &amp; Guarro 2002</t>
  </si>
  <si>
    <t>Thermochaetoides thermophila (La Touche) X. Wei Wang &amp; Houbraken 2022</t>
  </si>
  <si>
    <t>Cladophialophora bantiana (Sacc.) de Hoog, Kwon-Chung &amp; McGinnis 1995</t>
  </si>
  <si>
    <t>Cladophialophora carrionii (Trejos) de Hoog, Kwon-Chung &amp; McGinnis 1995</t>
  </si>
  <si>
    <t>Cladophialophora immunda Badali, M.M. Satow, Prenaf.-Boldú &amp; de Hoog 2008</t>
  </si>
  <si>
    <t>Cladophialophora psammophila Badali, Prenaf.-Boldú, Guarro &amp; de Hoog 2011</t>
  </si>
  <si>
    <t>Cladophialophora yegresii de Hoog 2007</t>
  </si>
  <si>
    <t>Cladosporium sphaerospermum Penz. 1882</t>
  </si>
  <si>
    <t>Claviceps purpurea (Fr.) Tul. 1853</t>
  </si>
  <si>
    <t>Clavispora lusitaniae Rodr. Mir. 1979</t>
  </si>
  <si>
    <t>Coccidioides immitis C.W. Stiles 1896</t>
  </si>
  <si>
    <t>Coccidioides posadasii M.C. Fisher, G.L. Koenig, T.J. White &amp; J.W. Taylor 2002</t>
  </si>
  <si>
    <t>Colletotrichum gloeosporioides (Penz.) Penz. &amp; Sacc. 1884</t>
  </si>
  <si>
    <t>Colletotrichum graminicola (Ces.) G.W. Wilson 1914</t>
  </si>
  <si>
    <t>Colletotrichum higginsianum Sacc. 1917</t>
  </si>
  <si>
    <t>Gloeosporium orbiculare (Berk.) Berk. 1876</t>
  </si>
  <si>
    <t>Coniophora puteana (Schumach.) P. Karst. 1868</t>
  </si>
  <si>
    <t>Coniosporium apollinis Sterfl. 1997</t>
  </si>
  <si>
    <t>Coprinus comatus (O.F. Müll.) Pers. 1797</t>
  </si>
  <si>
    <t>Cordyceps fumosorosea (Wize) Kepler, B. Shrestha &amp; Spatafora 2017</t>
  </si>
  <si>
    <t>Cordyceps militaris (L.) Fr. 1818</t>
  </si>
  <si>
    <t>Corynascus sepedonium (C.W. Emmons) Arx 1973</t>
  </si>
  <si>
    <t>Cronartium quercuum (Berk.) Miyabe ex Shirai 1899</t>
  </si>
  <si>
    <t>Cronartium ribicola J.C. Fisch. 1872</t>
  </si>
  <si>
    <t>Cryomyces antarcticus Selbmann, de Hoog, Mazzaglia, Friedmann &amp; Onofri 2005</t>
  </si>
  <si>
    <t>Cryomyces minteri Selbmann, de Hoog, Mazzaglia, Friedmann &amp; Onofri 2005</t>
  </si>
  <si>
    <t>Cryphonectria parasitica (Murrill) M.E. Barr 1978</t>
  </si>
  <si>
    <t>Naganishia adeliensis (Scorzetti, I. Petrescu, Yarrow &amp; Fell) Xin Zhan Liu, F.Y. Bai, M. Groenew. &amp; Boekhout 2015</t>
  </si>
  <si>
    <t>Naganishia antarctica (Vishniac &amp; Kurtzman) Xin Zhan Liu, F.Y. Bai, M. Groenew. &amp; Boekhout 2015</t>
  </si>
  <si>
    <t>Saitozyma podzolica (Babeva &amp; Reshetova) Xin Zhan Liu, F.Y. Bai, M. Groenew. &amp; Boekhout 2015</t>
  </si>
  <si>
    <t>Naganishia vishniacii (Vishniac &amp; Hempfling) Xin Zhan Liu, F.Y. Bai, M. Groenew. &amp; Boekhout 2015</t>
  </si>
  <si>
    <t>Curvularia clavata B.L. Jain 1962</t>
  </si>
  <si>
    <t>Cyberlindnera jadinii (Sartory, R. Sartory, J. Weill &amp; J. Mey.) Minter 2009</t>
  </si>
  <si>
    <t>Cyniclomyces guttulatus (C.P. Robin) Van der Walt &amp; D.B. Scott 1971</t>
  </si>
  <si>
    <t>Cystobasidium ongulense M. Tsuji, Tsujimoto &amp; S. Imura 2017</t>
  </si>
  <si>
    <t>Cystobasidium tubakii M. Tsuji, Tsujimoto &amp; S. Imura 2017</t>
  </si>
  <si>
    <t>Daedalea quercina (L.) Pers. 1801</t>
  </si>
  <si>
    <t>Daldinia eschscholtzii (Ehrenb.) Rehm 1904</t>
  </si>
  <si>
    <t>Debaryomyces hansenii (Zopf) Lodder &amp; Kreger-van Rij 1984</t>
  </si>
  <si>
    <t>Dichomitus squalens (P. Karst.) D.A. Reid 1965</t>
  </si>
  <si>
    <t>Dothistroma septosporum (Dorogin) M. Morelet 1968</t>
  </si>
  <si>
    <t>Emergomyces africanus Dukik, C. Kenyon, Govender, I.S. Schwartz &amp; de Hoog 2017</t>
  </si>
  <si>
    <t>Emergomyces orientalis P. Wang, Y.C. Xu &amp; H.W. Fan 2017</t>
  </si>
  <si>
    <t>Emergomyces pasteurianus (Drouhet, E. Guého &amp; Gori) Dukik, Sigler &amp; de Hoog 2017</t>
  </si>
  <si>
    <t>Epichloe typhina (Pers.) Brockm. 1863</t>
  </si>
  <si>
    <t>Epicoccum nigrum Link 1816</t>
  </si>
  <si>
    <t>Eremothecium gossypii (S.F. Ashby &amp; W. Nowell) Kurtzman 1995</t>
  </si>
  <si>
    <t>Aspergillus ruber (Jos. König, Spieck. &amp; W. Bremer) Thom &amp; Church 1926</t>
  </si>
  <si>
    <t>Eutypa lata (Pers.) Tul. &amp; C. Tul. 1863</t>
  </si>
  <si>
    <t>Exidia glandulosa (Bull.) Fr. 1822</t>
  </si>
  <si>
    <t>Exophiala alcalophila Goto &amp; Sugiy. 1982</t>
  </si>
  <si>
    <t>Exophiala aquamarina de Hoog, V.A. Vicente, Najafz., Harrak, Badali, Seyedm. &amp; Nyaoke 2011</t>
  </si>
  <si>
    <t>Exophiala dermatitidis (Kano) de Hoog 1977</t>
  </si>
  <si>
    <t>Flammulina velutipes (Curtis) Singer 1951</t>
  </si>
  <si>
    <t>Fomitiporia mediterranea M. Fisch. 2002</t>
  </si>
  <si>
    <t>Fomes fomentarius (L.) Fr. 1849</t>
  </si>
  <si>
    <t>Friedmanniomyces endolithicus Onofri 1999</t>
  </si>
  <si>
    <t>Friedmanniomyces simplex Selbmann, de Hoog, Mazzaglia, Friedmann &amp; Onofri 2005</t>
  </si>
  <si>
    <t>Fulvia fulva (Cooke) Cif. 1954</t>
  </si>
  <si>
    <t>Fusarium circinatum Nirenberg &amp; O'Donnell 1998</t>
  </si>
  <si>
    <t>Fusarium equiseti (Corda) Sacc. 1886</t>
  </si>
  <si>
    <t>Fusarium fujikuroi Nirenberg 1976</t>
  </si>
  <si>
    <t>Fusarium graminearum Schwabe 1839</t>
  </si>
  <si>
    <t>Fusarium heterosporum Nees &amp; T. Nees 1818</t>
  </si>
  <si>
    <t>Fusarium incarnatum (Desm.) Sacc. 1886</t>
  </si>
  <si>
    <t>Fusarium langsethiae Torp &amp; Nirenberg 2004</t>
  </si>
  <si>
    <t>Fusarium oxysporum Schltdl. 1824</t>
  </si>
  <si>
    <t>Fusarium phyllophilum Nirenberg &amp; O'Donnell 1998</t>
  </si>
  <si>
    <t>Fusarium poae (Peck) Wollenw. 1913</t>
  </si>
  <si>
    <t>Fusarium proliferatum (Matsush.) Nirenberg ex Gerlach &amp; Nirenberg 1982</t>
  </si>
  <si>
    <t>Fusarium pseudograminearum O'Donnell &amp; T. Aoki 1999</t>
  </si>
  <si>
    <t>Fusarium solani (Mart.) Sacc. 1881</t>
  </si>
  <si>
    <t>Fusarium sporotrichioides Sherb. 1915</t>
  </si>
  <si>
    <t>Fusarium tricinctum (Corda) Sacc. 1886</t>
  </si>
  <si>
    <t>Ganoderma lucidum (Curtis) P. Karst. 1881</t>
  </si>
  <si>
    <t>Ganoderma sinense J.D. Zhao, L.W. Hsu &amp; X.Q. Zhang 1979</t>
  </si>
  <si>
    <t>Ceriporiopsis subvermispora (Pilát) Gilb. &amp; Ryvarden 1985</t>
  </si>
  <si>
    <t>Pseudogymnoascus pannorum (Link) Minnis &amp; D.L. Lindner 2013</t>
  </si>
  <si>
    <t>Geotrichum candidum Link 1809</t>
  </si>
  <si>
    <t>Dipodascus carabidarus (S.O. Suh &amp; M. Blackw.) S.O. Suh &amp; M. Blackw. 2015</t>
  </si>
  <si>
    <t>Dipodascus histeridarus (S.O. Suh &amp; M. Blackw.) S.O. Suh &amp; M. Blackw. 2015</t>
  </si>
  <si>
    <t>Glaciozyma antarctica (Fell, Statzell, I.L. Hunter &amp; Phaff) M. Groenew. &amp; Q.M. Wang 2020</t>
  </si>
  <si>
    <t>Glaciozyma martinii Turchetti, Connell, Thomas-Hall &amp; Boekhout 2020</t>
  </si>
  <si>
    <t>Gloeophyllum trabeum (Pers.) Murrill 1908</t>
  </si>
  <si>
    <t>Goffeauzyma gilvescens (Chernov &amp; Babeva) Xin Zhan Liu, F.Y. Bai, M. Groenew. &amp; Boekhout 2015</t>
  </si>
  <si>
    <t>Grifola frondosa (Dicks.) Gray 1821</t>
  </si>
  <si>
    <t>Grosmannia clavigera (Rob.-Jeffr. &amp; R.W. Davidson) Zipfel, Z.W. de Beer &amp; M.J. Wingf. 2006</t>
  </si>
  <si>
    <t>Hanseniaspora uvarum (Niehaus) Shehata, Mrak &amp; Phaff ex M.T. Sm. 1984</t>
  </si>
  <si>
    <t>Ogataea polymorpha (Morais &amp; M.H. Maia) Y. Yamada, K. Maeda &amp; Mikata 1994</t>
  </si>
  <si>
    <t>Hemileia vastatrix Berk. &amp; Broome 1869</t>
  </si>
  <si>
    <t>Heterobasidion annosum (Fr.) Bref. 1888</t>
  </si>
  <si>
    <t>Hirsutella minnesotensis Sen Y. Chen, Xing Z. Liu &amp; F.J. Chen 2000</t>
  </si>
  <si>
    <t>Hirsutella rhossiliensis Minter &amp; B.L. Brady 1980</t>
  </si>
  <si>
    <t>Hirsutella thompsonii F.E. Fisher 1950</t>
  </si>
  <si>
    <t>Histoplasma capsulatum Darling 1906</t>
  </si>
  <si>
    <t>Hortaea werneckii (Horta) Nishim. &amp; Miyaji 1984</t>
  </si>
  <si>
    <t>Humicola hyalothermophila Moub., Mazen &amp; Abdel-Hafez 1979</t>
  </si>
  <si>
    <t>Hypholoma fasciculare (Huds.) P. Kumm. 1871</t>
  </si>
  <si>
    <t>Hyphopichia burtonii (Boidin, Pignal, Lehodey, Vey &amp; Abadie) Arx &amp; Van der Walt 1976</t>
  </si>
  <si>
    <t>Hypsizygus marmoreus (Peck) H.E. Bigelow 1976</t>
  </si>
  <si>
    <t>Cordyceps farinosa (Holmsk.) Kepler, B. Shrestha &amp; Spatafora 2017</t>
  </si>
  <si>
    <t>Kazachstania pintolopesii Kurtzman, Robnett, Jerr.M. Ward &amp; T.J. Walsh 2005</t>
  </si>
  <si>
    <t>Kluyveromyces lactis (Stell.-Dekk.) Van der Walt 1971</t>
  </si>
  <si>
    <t>Kodamaea laetipori S.O. Suh &amp; M. Blackw. 2005</t>
  </si>
  <si>
    <t>Komagataella pastoris (Guillierm.) Y. Yamada, M. Matsuda, K. Maeda &amp; Mikata 1995</t>
  </si>
  <si>
    <t>Lachancea meyersii Fell, Statzell &amp; Kurtzman 2004</t>
  </si>
  <si>
    <t>Lachancea thermotolerans (Filippov) Kurtzman 2003</t>
  </si>
  <si>
    <t>Lactarius controversus Pers. 1800</t>
  </si>
  <si>
    <t>Lactarius deliciosus (L.) Gray 1821</t>
  </si>
  <si>
    <t>Lactifluus volemus (Fr.) Kuntze 1891</t>
  </si>
  <si>
    <t>Laetiporus sulphureus (Bull.) Murrill 1920</t>
  </si>
  <si>
    <t>Akanthomyces lecanii (Zimm.) Spatafora, Kepler &amp; B. Shrestha 2017</t>
  </si>
  <si>
    <t>Lentinula edodes (Berk.) Pegler 1976</t>
  </si>
  <si>
    <t>Neolentinus lepideus (Fr.) Redhead &amp; Ginns 1985</t>
  </si>
  <si>
    <t>Leptosphaeria maculans Ces. &amp; De Not. 1863</t>
  </si>
  <si>
    <t>Leucosporidium creatinivorum (Golubev) M. Groenew. &amp; Q.M. Wang 2020</t>
  </si>
  <si>
    <t>Mrakia frigida (Fell, Statzell, I.L. Hunter &amp; Phaff) Y. Yamada &amp; Komag. 1987</t>
  </si>
  <si>
    <t>Leucosporidium scottii Fell, Statzell, I.L. Hunter &amp; Phaff 1970</t>
  </si>
  <si>
    <t>Leucosporidium yakuticum (Golubev) M. Groenew. &amp; Q.M. Wang 2020</t>
  </si>
  <si>
    <t>Lichtheimia corymbifera (Cohn) Vuill. 1903</t>
  </si>
  <si>
    <t>Lichtheimia hyalospora (Saito) Kerst. Hoffm., Walther &amp; K. Voigt 2009</t>
  </si>
  <si>
    <t>Lichtheimia ornata (A.K. Sarbhoy) Alastr.-Izq. &amp; Walther 2010</t>
  </si>
  <si>
    <t>Lipomyces starkeyi Lodder &amp; Kreger-van Rij 1952</t>
  </si>
  <si>
    <t>Macrolepiota dolichaula (Berk. &amp; Broome) Pegler &amp; R.W. Rayner 1969</t>
  </si>
  <si>
    <t>Malassezia globosa Midgley, E. Guého &amp; J. Guillot 1996</t>
  </si>
  <si>
    <t>Malassezia pachydermatis (Weidman) C.W. Dodge 1935</t>
  </si>
  <si>
    <t>Malassezia restricta E. Guého, J. Guillot &amp; Midgley 1996</t>
  </si>
  <si>
    <t>Malassezia sympodialis R.B. Simmons &amp; E. Guého 1990</t>
  </si>
  <si>
    <t>Malbranchea cinnamomea (Lib.) Oorschot &amp; de Hoog 1984</t>
  </si>
  <si>
    <t>Melampsora laricis-populina Kleb. 1902</t>
  </si>
  <si>
    <t>Metarhizium acridum (Driver &amp; Milner) J.F. Bisch., S.A. Rehner &amp; Humber 2009</t>
  </si>
  <si>
    <t>Metarhizium anisopliae (Metschn.) Sorokin 1883</t>
  </si>
  <si>
    <t>Metarhizium brunneum Petch 1935</t>
  </si>
  <si>
    <t>Metarhizium robertsii J.F. Bisch., S.A. Rehner &amp; Humber 2009</t>
  </si>
  <si>
    <t>Metschnikowia chrysoperlae S.O. Suh, C.M. Gibson &amp; M. Blackw. 2004</t>
  </si>
  <si>
    <t>Metschnikowia corniflorae N.H. Nguyen, S.O. Suh, Erbil &amp; M. Blackw. 2006</t>
  </si>
  <si>
    <t>Metschnikowia dekortorum Lachance &amp; J.M. Bowles 2002</t>
  </si>
  <si>
    <t>Metschnikowia fructicola Kurtzman &amp; Droby 2001</t>
  </si>
  <si>
    <t>Metschnikowia gruessii Gim.-Jurado 1992</t>
  </si>
  <si>
    <t>Metschnikowia kunwiensis (S.G. Hong, Bae, M. Herzberg, Titze &amp; Lachance) Brysch-Herzb. 2004</t>
  </si>
  <si>
    <t>Metschnikowia similis Lachance &amp; J.M. Bowles 2004</t>
  </si>
  <si>
    <t>Meyerozyma guilliermondii (Wick.) Kurtzman &amp; M. Suzuki 2010</t>
  </si>
  <si>
    <t>Microsporum canis E. Bodin ex Guég. 1902</t>
  </si>
  <si>
    <t>Millerozyma farinosa (Lindner) Kurtzman &amp; M. Suzuki 2010</t>
  </si>
  <si>
    <t>Moniliophthora roreri (Cif.) H.C. Evans, Stalpers, Samson &amp; Benny 1978</t>
  </si>
  <si>
    <t>Morchella esculenta (L.) Pers. 1794</t>
  </si>
  <si>
    <t>Morchella eximia Boud. 1910</t>
  </si>
  <si>
    <t>Morchella importuna M. Kuo, O'Donnell &amp; T.J. Volk 2012</t>
  </si>
  <si>
    <t>Mortierella alpina Peyronel 1913</t>
  </si>
  <si>
    <t>Actinomortierella wolfii (B.S. Mehrotra &amp; Baijal) Vandepol &amp; Bonito 2020</t>
  </si>
  <si>
    <t>Mrakia blollopsis Thomas-Hall 2010</t>
  </si>
  <si>
    <t>Mrakia hoshinonis M. Tsuji, Y. Tanabe, W.F. Vincent &amp; Mas. Uchida 2019</t>
  </si>
  <si>
    <t>Mrakia psychrophila M.X. Xin &amp; P.J. Zhou 2007</t>
  </si>
  <si>
    <t>Mucor circinelloides Tiegh. 1875</t>
  </si>
  <si>
    <t>Mucor lusitanicus Bruderl. 1916</t>
  </si>
  <si>
    <t>Thermothelomyces hinnuleus (Awao &amp; Udagawa) Y. Marín, Stchigel, Guarro &amp; Cano 2015</t>
  </si>
  <si>
    <t>Mycothermus thermophilus (Cooney &amp; R. Emers.) X. Wei Wang, Houbraken &amp; D.O. Natvig 2018</t>
  </si>
  <si>
    <t>Thermothelomyces myriococcoides X. Wei Wang &amp; Houbraken 2022</t>
  </si>
  <si>
    <t>Nadsonia fulvescens (Nadson &amp; Konok.) Syd. 1912</t>
  </si>
  <si>
    <t>Naganishia albida (Saito) Xin Zhan Liu, F.Y. Bai, M. Groenew. &amp; Boekhout 2015</t>
  </si>
  <si>
    <t>Naganishia friedmannii (Vishniac) Xin Zhan Liu, F.Y. Bai, M. Groenew. &amp; Boekhout 2015</t>
  </si>
  <si>
    <t>Neurospora crassa Shear &amp; B.O. Dodge 1927</t>
  </si>
  <si>
    <t>Ogataea pilisensis (G. Péter, Tornai-Leh., Fülöp &amp; Dlauchy) Kurtzman &amp; Robnett 2010</t>
  </si>
  <si>
    <t>Rhodonia placenta (Fr.) Niemelä, K.H. Larss. &amp; Schigel 2005</t>
  </si>
  <si>
    <t>Ophiocordyceps sinensis (Berk.) G.H. Sung, J.M. Sung, Hywel-Jones &amp; Spatafora 2007</t>
  </si>
  <si>
    <t>Ophiognomonia clavigignenti-juglandacearum (V.M.G. Nair, Kostichka &amp; J.E. Kuntz) Broders &amp; G.J. Boland 2011</t>
  </si>
  <si>
    <t>Ceratocystis montium (Rumbold) J. Hunt 1956</t>
  </si>
  <si>
    <t>Ophiostoma ulmi (Buisman) Nannf. 1934</t>
  </si>
  <si>
    <t>Hymenopellis radicata (Relhan) R.H. Petersen 2010</t>
  </si>
  <si>
    <t>Pachysolen tannophilus Boidin &amp; Adzet 1958</t>
  </si>
  <si>
    <t>Paecilomyces variotii Bainier 1907</t>
  </si>
  <si>
    <t>Parastagonospora nodorum (Berk.) Quaedvl., Verkley &amp; Crous 2013</t>
  </si>
  <si>
    <t>Paxillus involutus (Batsch) Fr. 1838</t>
  </si>
  <si>
    <t>Penicillium antarcticum A.D. Hocking &amp; C.F. McRae 1999</t>
  </si>
  <si>
    <t>Penicillium aurantiogriseum Dierckx 1901</t>
  </si>
  <si>
    <t>Penicillium brevicompactum Dierckx 1901</t>
  </si>
  <si>
    <t>Penicillium chrysogenum Thom 1910</t>
  </si>
  <si>
    <t>Penicillium citrinum Thom 1910</t>
  </si>
  <si>
    <t>Penicillium commune Thom 1910</t>
  </si>
  <si>
    <t>Penicillium decumbens Thom 1910</t>
  </si>
  <si>
    <t>Penicillium digitatum (Pers.) Sacc. 1881</t>
  </si>
  <si>
    <t>Penicillium expansum Link 1809</t>
  </si>
  <si>
    <t>Talaromyces funiculosus (Thom) Samson, N. Yilmaz, Frisvad &amp; Seifert 2011</t>
  </si>
  <si>
    <t>Penicillium glabrum (Wehmer) Westling 1911</t>
  </si>
  <si>
    <t>Talaromyces islandicus (Sopp) Samson, N. Yilmaz, Frisvad &amp; Seifert 2011</t>
  </si>
  <si>
    <t>Penicillium italicum Wehmer 1894</t>
  </si>
  <si>
    <t>Penicillium oxalicum Currie &amp; Thom 1915</t>
  </si>
  <si>
    <t>Penicillium solitum Westling 1911</t>
  </si>
  <si>
    <t>Talaromyces pinophilus (Hedgc.) Samson, N. Yilmaz, Frisvad &amp; Seifert 2011</t>
  </si>
  <si>
    <t>Penicillium polonicum K.W. Zaleski 1927</t>
  </si>
  <si>
    <t>Penicillium rubens Biourge 1923</t>
  </si>
  <si>
    <t>Penicillium verrucosum Dierckx 1901</t>
  </si>
  <si>
    <t>Peronospora hyoscyami de Bary 1863</t>
  </si>
  <si>
    <t>Pestalotiopsis fici Steyaert 1949</t>
  </si>
  <si>
    <t>Phakopsora pachyrhizi Syd. &amp; P. Syd. 1914</t>
  </si>
  <si>
    <t>Phanerochaete carnosa (Burt) Parmasto 1967</t>
  </si>
  <si>
    <t>Phanerodontia chrysosporium (Burds.) Hjortstam &amp; Ryvarden 2010</t>
  </si>
  <si>
    <t>Phenoliferia glacialis (Margesin &amp; J.P. Samp.) Q.M. Wang, F.Y. Bai, M. Groenew. &amp; Boekhout 2015</t>
  </si>
  <si>
    <t>Phlebia radiata Fr. 1821</t>
  </si>
  <si>
    <t>Phlebiopsis gigantea (Fr.) Jülich 1978</t>
  </si>
  <si>
    <t>Pholiota adiposa (Batsch) P. Kumm. 1871</t>
  </si>
  <si>
    <t>Phycomyces blakesleeanus Burgeff 1925</t>
  </si>
  <si>
    <t>Issatchenkia orientalis Kudryavtsev 1960</t>
  </si>
  <si>
    <t>Pichia membranifaciens (E.C. Hansen) E.C. Hansen 1904</t>
  </si>
  <si>
    <t>Pichia sporocuriosa G. Péter, Tornai-Leh., Dlauchy &amp; Vitányi 2000</t>
  </si>
  <si>
    <t>Scheffersomyces stipitis (Pignal) Kurtzman &amp; M. Suzuki 2010</t>
  </si>
  <si>
    <t>Pisolithus arhizus (Scop.) Rauschert 1959</t>
  </si>
  <si>
    <t>Pleurotus citrinopileatus Singer 1943</t>
  </si>
  <si>
    <t>Pleurotus eryngii (DC.) Quél. 1872</t>
  </si>
  <si>
    <t>Pleurotus ostreatus (Jacq.) P. Kumm. 1871</t>
  </si>
  <si>
    <t>Pneumocystis carinii P. Delanoë &amp; Delanoë 1912</t>
  </si>
  <si>
    <t>Pneumocystis jirovecii Frenkel 1976</t>
  </si>
  <si>
    <t>Podila verticillata (Linnem.) Vandepol &amp; Bonito 2020</t>
  </si>
  <si>
    <t>Triangularia anserina (Rabenh.) X. Wei Wang &amp; Houbraken 2019</t>
  </si>
  <si>
    <t>Obba rivulosa (Berk. &amp; M.A. Curtis) Miettinen &amp; Rajchenb. 2012</t>
  </si>
  <si>
    <t>Pseudocercospora fijiensis (M. Morelet) Deighton 1976</t>
  </si>
  <si>
    <t>Oculimacula yallundae (Wallwork &amp; Spooner) Crous &amp; W. Gams 2003</t>
  </si>
  <si>
    <t>Pseudogymnoascus destructans (Blehert &amp; Gargas) Minnis &amp; D.L. Lindner 2013</t>
  </si>
  <si>
    <t>Puccinia allii (DC.) F. Rudolphi 1829</t>
  </si>
  <si>
    <t>Puccinia coronata</t>
  </si>
  <si>
    <t>Puccinia coronata Corda 1837</t>
  </si>
  <si>
    <t>Puccinia graminis Pers. 1794</t>
  </si>
  <si>
    <t>Puccinia hordei G.H. Otth 1871</t>
  </si>
  <si>
    <t>Puccinia sorghi Schwein. 1832</t>
  </si>
  <si>
    <t>Puccinia striiformis Westend. 1854</t>
  </si>
  <si>
    <t>Puccinia recondita Roberge ex Desm. 1857</t>
  </si>
  <si>
    <t>Purpureocillium lilacinum (Thom) Luangsa-ard, Houbraken, Hywel-Jones &amp; Samson 2011</t>
  </si>
  <si>
    <t>Pyrenophora tritici-repentis (Died.) Drechsler 1923</t>
  </si>
  <si>
    <t>Pyricularia grisea Cooke ex Sacc. 1886</t>
  </si>
  <si>
    <t>Pyricularia oryzae Cavara 1892</t>
  </si>
  <si>
    <t>Rasamsonia byssochlamydoides (Stolk &amp; Samson) Houbraken &amp; Frisvad 2011</t>
  </si>
  <si>
    <t>Rasamsonia emersonii (Stolk) Houbraken &amp; Frisvad 2011</t>
  </si>
  <si>
    <t>Rhinocladiella mackenziei (C.K. Campb. &amp; Al-Hedaithy) Arzanlou &amp; Crous 2007</t>
  </si>
  <si>
    <t>Rhizoctonia solani J.G. Kühn 1858</t>
  </si>
  <si>
    <t>Mucor endophyticus (R.Y. Zheng &amp; H. Jiang) J. Pawlowska &amp; Walther 2013</t>
  </si>
  <si>
    <t>Rhizomucor miehei (Cooney &amp; R. Emers.) Schipper 1978</t>
  </si>
  <si>
    <t>Rhizomucor pusillus (Lindt) Schipper 1978</t>
  </si>
  <si>
    <t>Rhizophlyctis rosea (de Bary &amp; Woronin) A. Fisch. 1892</t>
  </si>
  <si>
    <t>Rhizopogon roseolus (Corda) Th. Fr. 1909</t>
  </si>
  <si>
    <t>Rhizopus arrhizus A. Fisch. 1892</t>
  </si>
  <si>
    <t>Rhizopus stolonifer (Ehrenb.) Vuill. 1902</t>
  </si>
  <si>
    <t>Buckleyzyma aurantiaca (Saito) Q.M. Wang, F.Y. Bai, M. Groenew. &amp; Boekhout 2015</t>
  </si>
  <si>
    <t>Rhodotorula glutinis (Fresen.) F.C. Harrison 1927</t>
  </si>
  <si>
    <t>Rhodotorula graminis Di Menna 1958</t>
  </si>
  <si>
    <t>Cystobasidium minutum (Cif. &amp; Redaelli) Yurkov, Kachalkin, H.M. Daniel, M. Groenew., Libkind, V. de García, Zalar, Gouliam., Boekhout &amp; Begerow 2014</t>
  </si>
  <si>
    <t>Rhodotorula mucilaginosa (A. Jörg.) F.C. Harrison 1927</t>
  </si>
  <si>
    <t>Rozella allomycetis Foust 1937</t>
  </si>
  <si>
    <t>Russula emetica (Schaeff.) Pers. 1796</t>
  </si>
  <si>
    <t>Russula virescens (Schaeff.) Fr. 1836</t>
  </si>
  <si>
    <t>Saccharomyces arboricola F.Y. Bai &amp; S.A. Wang 2008</t>
  </si>
  <si>
    <t>Saccharomyces bayanus Sacc. 1895</t>
  </si>
  <si>
    <t>Saccharomyces cerevisiae (Desm.) Meyen 1838</t>
  </si>
  <si>
    <t>Saccharomyces eubayanus J.P. Samp., Libkind, Hittinger, P. Gonç., E. Valério, C. Gonç., Dover &amp; M. Johnst. 2011</t>
  </si>
  <si>
    <t>Saccharomyces jurei S. Naseeb, S.A. James, H. Alsammar, C. Michaels, B. Gini, C. Nueno-Palop, C.J. Bond, H. McGhie, I.N. Roberts &amp; D. Delneri 2017</t>
  </si>
  <si>
    <t>Saccharomyces kudriavzevii G.I. Naumov, S.A. James, E.S. Naumova, E.J. Louis &amp; I.N. Roberts 2000</t>
  </si>
  <si>
    <t>Zygosaccharomyces mellis Fabian &amp; Quinet 1928</t>
  </si>
  <si>
    <t>Saccharomyces mikatae G.I. Naumov, S.A. James, E.S. Naumova, E.J. Louis &amp; I.N. Roberts 2000</t>
  </si>
  <si>
    <t>Saccharomyces paradoxus Bach.-Raich. 1914</t>
  </si>
  <si>
    <t>Saccharomyces pastorianus Reess 1870</t>
  </si>
  <si>
    <t>Saccharomycopsis fibuligera (Lindner) Klöcker 1924</t>
  </si>
  <si>
    <t>Sarcodon imbricatus (L.) P. Karst. 1881</t>
  </si>
  <si>
    <t>Schizophyllum commune Fr. 1815</t>
  </si>
  <si>
    <t>Schizosaccharomyces cryophilus Helston, J.A. Box, Wen Tang &amp; Peter Baumann 2010</t>
  </si>
  <si>
    <t>Hasegawaea japonica (Yukawa &amp; Maki) Y. Yamada &amp; I. Banno 1987</t>
  </si>
  <si>
    <t>Schizosaccharomyces octosporus Beij. 1897</t>
  </si>
  <si>
    <t>Schizosaccharomyces pombe Lindner 1893</t>
  </si>
  <si>
    <t>Sclerotinia borealis Bubák &amp; Vleugel 1917</t>
  </si>
  <si>
    <t>Sclerotinia sclerotiorum (Lib.) de Bary 1884</t>
  </si>
  <si>
    <t>Serpula lacrymans (Wulfen) J. Schröt. 1888</t>
  </si>
  <si>
    <t>Sporobolomyces roseus Kluyver &amp; C.B. Niel 1924</t>
  </si>
  <si>
    <t>Sporothrix variecibata Roets, Z.W. de Beer &amp; Crous 2008</t>
  </si>
  <si>
    <t>Stereum hirsutum (Willd.) Pers. 1800</t>
  </si>
  <si>
    <t>Stropharia rugosoannulata Farl. ex Murrill 1922</t>
  </si>
  <si>
    <t>Suillus punctipes (Peck) Singer 1945</t>
  </si>
  <si>
    <t>Talaromyces marneffei (Segretain, Capponi &amp; Sureau) Samson, N. Yilmaz, Frisvad &amp; Seifert 2011</t>
  </si>
  <si>
    <t>Talaromyces stipitatus (Thom ex C.W. Emmons) C.R. Benj. 1955</t>
  </si>
  <si>
    <t>Tausonia pullulans (Lindner) Xin Zhan Liu, F.Y. Bai, M. Groenew. &amp; Boekhout 2015</t>
  </si>
  <si>
    <t>Thamnidium elegans Link 1809</t>
  </si>
  <si>
    <t>Thermoascus aurantiacus Miehe 1907</t>
  </si>
  <si>
    <t>Thermoascus crustaceus (Apinis &amp; Chesters) Stolk 1965</t>
  </si>
  <si>
    <t>Thermoascus thermophilus (Sopp) Arx 1970</t>
  </si>
  <si>
    <t>Thermomyces dupontii (Griffon &amp; Maubl.) Houbraken &amp; Samson 2014</t>
  </si>
  <si>
    <t>Thermomyces lanuginosus Tsikl. 1899</t>
  </si>
  <si>
    <t>Thermomyces stellatus (Bunce) Apinis 1963</t>
  </si>
  <si>
    <t>Thermothelomyces thermophilus (Apinis) Y. Marín, Stchigel, Guarro &amp; Cano 2015</t>
  </si>
  <si>
    <t>Thermocarpiscus australiensis (Tansey &amp; M.A. Jack) X. Wei Wang &amp; Houbraken 2022</t>
  </si>
  <si>
    <t>Thermothielavioides terrestris (Apinis) X. Wei Wang &amp; Houbraken 2019</t>
  </si>
  <si>
    <t>Tilletiopsis washingtonensis Nyland 1950</t>
  </si>
  <si>
    <t>Tolypocladium cylindrosporum W. Gams 1971</t>
  </si>
  <si>
    <t>Tolypocladium inflatum W. Gams 1971</t>
  </si>
  <si>
    <t>Debaryomyces delbrueckii (Lindner) Kudryavtsev 1954</t>
  </si>
  <si>
    <t>Nakaseomyces glabratus (H.W. Anderson) Sugita &amp; M. Takash. 2022</t>
  </si>
  <si>
    <t>Trametes versicolor (L.) Lloyd 1921</t>
  </si>
  <si>
    <t>Naematelia aurantialba (Bandoni &amp; M. Zang) Millanes &amp; Wedin 2015</t>
  </si>
  <si>
    <t>Trichoderma parceramosum Bissett 1992</t>
  </si>
  <si>
    <t>Trichoderma citrinoviride Bissett 1984</t>
  </si>
  <si>
    <t>Trichoderma harzianum Rifai 1969</t>
  </si>
  <si>
    <t>Trichoderma reesei E.G. Simmons 1977</t>
  </si>
  <si>
    <t>Trichoderma virens (J.H. Mill., Giddens &amp; A.A. Foster) Arx 1987</t>
  </si>
  <si>
    <t>Trichoderma viride Pers. 1794</t>
  </si>
  <si>
    <t>Tricholoma bakamatsutake Hongo 1974</t>
  </si>
  <si>
    <t>Tricholoma terreum (Schaeff.) P. Kumm. 1871</t>
  </si>
  <si>
    <t>Trichophyton benhamiae (Ajello &amp; S.L. Cheng) Y. Gräser &amp; de Hoog 2018</t>
  </si>
  <si>
    <t>Trichophyton equinum Gedoelst 1902</t>
  </si>
  <si>
    <t>Trichophyton rubrum (Castell.) Sabour. 1911</t>
  </si>
  <si>
    <t>Cutaneotrichosporon cutaneum (Beurm., Gougerot &amp; Vaucher bis) Xin Zhan Liu, F.Y. Bai, M. Groenew. &amp; Boekhout 2015</t>
  </si>
  <si>
    <t>Trichothecium roseum (Pers.) Link 1809</t>
  </si>
  <si>
    <t>Tuber borchii Vittad. 1831</t>
  </si>
  <si>
    <t>Tuber brumale Vittad. 1831</t>
  </si>
  <si>
    <t>Tuber melanosporum Vittad. 1831</t>
  </si>
  <si>
    <t>Uromyces viciae-fabae (Pers.) J. Schröt. 1875</t>
  </si>
  <si>
    <t>Uromyces transversalis (Thüm.) G. Winter 1884</t>
  </si>
  <si>
    <t>Venturia inaequalis (Cooke) G. Winter 1875</t>
  </si>
  <si>
    <t>Verruconis gallopava (W.B. Cooke) Samerp. &amp; de Hoog 2013</t>
  </si>
  <si>
    <t>Verticillium alboatrum Reinke &amp; Berthold 1879</t>
  </si>
  <si>
    <t>Verticillium dahliae Kleb. 1913</t>
  </si>
  <si>
    <t>Vishniacozyma victoriae (M.J. Montes, Belloch, Galiana, M.D. García, C. Andrés, S. Ferrer, Torr.-Rodr. &amp; J. Guinea) Xin Zhan Liu, F.Y. Bai, M. Groenew. &amp; Boekhout 2015</t>
  </si>
  <si>
    <t>Volvariella volvacea (Bull.) Singer 1951</t>
  </si>
  <si>
    <t>Vuilleminia comedens (Nees) Maire 1902</t>
  </si>
  <si>
    <t>Wickerhamomyces anomalus (E.C. Hansen) Kurtzman, Robnett &amp; Bas.-Powers 2008</t>
  </si>
  <si>
    <t>Yamadazyma laniorum M.A.B. Haase, Kominek, Q.K. Langdon, Kurtzman &amp; Hittinger 2017</t>
  </si>
  <si>
    <t>Yamadazyma nakazawae (K. Kodama) Billon-Grand 1989</t>
  </si>
  <si>
    <t>Yamadazyma scolyti (Phaff &amp; Yoney.) Billon-Grand 1989</t>
  </si>
  <si>
    <t>Yarrowia lipolytica (Wick., Kurtzman &amp; Herman) Van der Walt &amp; Arx 1981</t>
  </si>
  <si>
    <t>Zygosaccharomyces lentus Steels, C.J. Bond, M.D. Collins, I.N. Roberts, Stratford &amp; S.A. James 1999</t>
  </si>
  <si>
    <t>Zygosaccharomyces rouxii (Boutroux) Yarrow 1977</t>
  </si>
  <si>
    <t>Madurella fahalii de Hoog, Van Diepen., Maghoub &amp; Sande 2012</t>
  </si>
  <si>
    <t>Apophysomyces variabilis E. Álvarez, Stchigel, Cano, Deanna A. Sutton &amp; Guarro 2010</t>
  </si>
  <si>
    <t>Apophysomyces trapeziformis E. Álvarez, Stchigel, Cano, Deanna A. Sutton &amp; Guarro 2010</t>
  </si>
  <si>
    <t>Apophysomyces elegans P.C. Misra, K.J. Srivast. &amp; Lata 1979</t>
  </si>
  <si>
    <t>Aspergillus insuetus (Bainier) Thom &amp; Church 1929</t>
  </si>
  <si>
    <t>Aspergillus ochraceus G. Wilh. 1877</t>
  </si>
  <si>
    <t>Aspergillus campestris M. Chr. 1982</t>
  </si>
  <si>
    <t>Aspergillus neotritici Glässnerová &amp; Hubka 2022</t>
  </si>
  <si>
    <t>Aspergillus subalbidus Visagie, Hirooka &amp; Samson 2014</t>
  </si>
  <si>
    <t>Aspergillus taichungensis Yaguchi, Someya &amp; Udagawa 1995</t>
  </si>
  <si>
    <t>Aspergillus fumigatiaffinis S.B. Hong, Frisvad &amp; Samson 2006</t>
  </si>
  <si>
    <t>Aspergillus caespitosus Raper &amp; Thom 1944</t>
  </si>
  <si>
    <t>Aureobasidium mangrovei S. Nasr 2018</t>
  </si>
  <si>
    <t>Blastomyces emzantsi Maphanga, Govender, Birkhead &amp; Frean 2020</t>
  </si>
  <si>
    <t>Lasiodiplodia theobromae (Pat.) Griffon &amp; Maubl. 1909</t>
  </si>
  <si>
    <t>Corynespora cassiicola (Berk. &amp; M.A. Curtis) C.T. Wei 1950</t>
  </si>
  <si>
    <t>Colletotrichum nymphaeae (Pass.) Aa 1978</t>
  </si>
  <si>
    <t>Colletotrichum aenigma B.S. Weir &amp; P.R. Johnst. 2012</t>
  </si>
  <si>
    <t>Colletotrichum godetiae Neerg. 1950</t>
  </si>
  <si>
    <t>Kabatiella zeae Narita &amp; Y. Hirats. 1959</t>
  </si>
  <si>
    <t>Aspergillus amstelodami (L. Mangin) Thom &amp; Church 1926</t>
  </si>
  <si>
    <t>Monascus ruber Tiegh. 1884</t>
  </si>
  <si>
    <t>Mucor piriformis A. Fisch. 1892</t>
  </si>
  <si>
    <t>Penicillium citreonigrum Dierckx 1901</t>
  </si>
  <si>
    <t>Artomyces pyxidatus (Pers.) Jülich 1982</t>
  </si>
  <si>
    <t>Gloeostereum incarnatum S. Ito &amp; S. Imai 1933</t>
  </si>
  <si>
    <t>Hericium coralloides (Scop.) Pers. 1794</t>
  </si>
  <si>
    <t>Hypholoma lateritium (Schaeff.) P. Kumm. 1871</t>
  </si>
  <si>
    <t>Mucidula mucida (Schrad.) Pat. 1887</t>
  </si>
  <si>
    <t>Hericium erinaceus (Bull.) Pers. 1797</t>
  </si>
  <si>
    <t>Incumbomyces delicatus Y. Quan, D. Shi, S.A. Ahmed, Al-Hatmi &amp; de Hoog 2021</t>
  </si>
  <si>
    <t>Incumbomyces lentus Y. Quan, D. Shi, S.A. Ahmed, Al-Hatmi &amp; de Hoog 2021</t>
  </si>
  <si>
    <t>Papiliotrema laurentii (Kuff.) Xin Zhan Liu, F.Y. Bai, M. Groenew. &amp; Boekhout 2015</t>
  </si>
  <si>
    <t>Lachancea quebecensis K.C. Freel, G. Charron, J.B. Leducq, C.R. Landry &amp; J. Schacherer 2015</t>
  </si>
  <si>
    <t>Hygrophorus russula (Schaeff. ex Fr.) Kauffman 1918</t>
  </si>
  <si>
    <t>Suillus luteus (L.) Roussel 1796</t>
  </si>
  <si>
    <t>Tricholoma matsutake (S. Ito &amp; S. Imai) Singer 1943</t>
  </si>
  <si>
    <t>Suillus grevillei (Klotzsch) Singer 1945</t>
  </si>
  <si>
    <t>Neonectria ditissima (Tul. &amp; C. Tul.) Samuels &amp; Rossman 2006</t>
  </si>
  <si>
    <t>Diplodia mutila (Fr.) Mont. 1849</t>
  </si>
  <si>
    <t>Nigrograna mackinnonii (Borelli) Gruyter, Verkley &amp; Crous 2012</t>
  </si>
  <si>
    <t>Microdochium nivale (Fr.) Samuels &amp; I.C. Hallett 1983</t>
  </si>
  <si>
    <t>Mrakia aquatica (E.B.G. Jones &amp; Slooff) Xin Zhan Liu, F.Y. Bai, M. Groenew. &amp; Boekhout 2015</t>
  </si>
  <si>
    <t>Paecilomyces fulvus Stolk &amp; Samson 1971</t>
  </si>
  <si>
    <t>Paecilomyces niveus Stolk &amp; Samson 1971</t>
  </si>
  <si>
    <t>Trametopsis cervina (Schwein.) Tomšovský 2008</t>
  </si>
  <si>
    <t>Trametes cingulata Berk. 1854</t>
  </si>
  <si>
    <t>Phytophthora infestans (Mont.) de Bary 1876</t>
  </si>
  <si>
    <t>Sarocladium terricola (J.H. Mill., Giddens &amp; A.A. Foster) A. Giraldo, Gené &amp; Guarro 2014</t>
  </si>
  <si>
    <t>Penicillium roqueforti Thom 1906</t>
  </si>
  <si>
    <t>Recurvomyces mirabilis Selbmann &amp; de Hoog 2008</t>
  </si>
  <si>
    <t>Trametes hirsuta (Wulfen) Lloyd 1924</t>
  </si>
  <si>
    <t>Auricularia auricula-judae (Bull.) Quél. 1886</t>
  </si>
  <si>
    <t>Absidia glauca Hagem 1908</t>
  </si>
  <si>
    <t>Amylocarpus encephaloides Curr. 1859</t>
  </si>
  <si>
    <t>Apophysomyces ossiformis E. Álvarez, Stchigel, Cano, Deanna A. Sutton &amp; Guarro 2010</t>
  </si>
  <si>
    <t>Armillaria ostoyae (Romagn.) Herink 1973</t>
  </si>
  <si>
    <t>Arthrobotrys oligosporus Fresen. 1850</t>
  </si>
  <si>
    <t>Didymella lentis W.J. Kaiser, B.C. Wang &amp; J.D. Rogers 1997</t>
  </si>
  <si>
    <t>Aspergillus calidoustus Varga, Houbraken &amp; Samson 2008</t>
  </si>
  <si>
    <t>Aspergillus candidus Link 1809</t>
  </si>
  <si>
    <t>Aspergillus coremiiformis Bartoli &amp; Maggi 1979</t>
  </si>
  <si>
    <t>Aspergillus felis Barrs, van Doorn, Varga &amp; Samson 2013</t>
  </si>
  <si>
    <t>Aspergillus sclerotioniger Samson &amp; Frisvad 2004</t>
  </si>
  <si>
    <t>Aspergillus wentii Wehmer 1896</t>
  </si>
  <si>
    <t>Aureobasidium melanogenum (Herm.-Nijh.) Zalar, Gostincar &amp; Gunde-Cim. 2014</t>
  </si>
  <si>
    <t>Aureobasidium subglaciale (Zalar, de Hoog &amp; Gunde-Cim.) Zalar, de Hoog &amp; Gunde-Cim. 2014</t>
  </si>
  <si>
    <t>Bondarzewia mesenterica (Schaeff.) Kreisel 1984</t>
  </si>
  <si>
    <t>Botryosphaeria dothidea (Moug.) Ces. &amp; De Not. 1863</t>
  </si>
  <si>
    <t>Neofusicoccum parvum (Pennycook &amp; Samuels) Crous, Slippers &amp; A.J.L. Phillips 2006</t>
  </si>
  <si>
    <t>Candida boidinii C. Ramírez 1953</t>
  </si>
  <si>
    <t>Capronia coronata Samuels 1987</t>
  </si>
  <si>
    <t>Choanephora cucurbitarum (Berk. &amp; Ravenel) Thaxt. 1903</t>
  </si>
  <si>
    <t>Bipolaris sorokiniana Shoemaker 1959</t>
  </si>
  <si>
    <t>Colletotrichum fioriniae (Marcelino &amp; Gouli) Pennycook 2017</t>
  </si>
  <si>
    <t>Colletotrichum fructicola Prihast., L. Cai &amp; K.D. Hyde 2009</t>
  </si>
  <si>
    <t>Colletotrichum liriopes Damm, P.F. Cannon &amp; Crous 2009</t>
  </si>
  <si>
    <t>Colletotrichum lupini (Bondar) Damm, P.F. Cannon &amp; Crous 2012</t>
  </si>
  <si>
    <t>Colletotrichum trifolii Bain 1906</t>
  </si>
  <si>
    <t>Coprinellus micaceus (Bull.) Vilgalys, Hopple &amp; Jacq. Johnson 2001</t>
  </si>
  <si>
    <t>Curvularia kusanoi (Y. Nisik.) Manamgoda, Rossman &amp; K.D. Hyde 2014</t>
  </si>
  <si>
    <t>Cytospora leucostoma (Pers.) Sacc. 1881</t>
  </si>
  <si>
    <t>Exophiala spinifera (H.S. Nielsen &amp; Conant) McGinnis 1977</t>
  </si>
  <si>
    <t>Exserohilum turcicum (Pass.) K.J. Leonard &amp; Suggs 1974</t>
  </si>
  <si>
    <t>Fonsecaea multimorphosa Najafz., V.A. Vicente, J. Sun bis, Meis &amp; de Hoog 2011</t>
  </si>
  <si>
    <t>Fusarium beomiforme P.E. Nelson, Toussoun &amp; L.W. Burgess 1988</t>
  </si>
  <si>
    <t>Fusarium culmorum (Wm.G. Sm.) Sacc. 1892</t>
  </si>
  <si>
    <t>Fusarium longipes Wollenw. &amp; Reinking 1925</t>
  </si>
  <si>
    <t>Fusarium oligoseptatum T. Aoki, M.T. Kasson, S. Freeman, D.M. Geiser &amp; K. O’Donnell 2018</t>
  </si>
  <si>
    <t>Fusarium redolens Wollenw. 1913</t>
  </si>
  <si>
    <t>Fusarium vanettenii O'Donnell, Geiser, Kasson &amp; T. Aoki 2020</t>
  </si>
  <si>
    <t>Gymnopilus junonius (Fr.) P.D. Orton 1960</t>
  </si>
  <si>
    <t>Hericium flagellum (Scop.) Pers. 1797</t>
  </si>
  <si>
    <t>Hymenoscyphus fraxineus (T. Kowalski) Baral, Queloz &amp; Hosoya 2014</t>
  </si>
  <si>
    <t>Lentinus tigrinus (Bull.) Fr. 1825</t>
  </si>
  <si>
    <t>Macrophomina phaseolina (Tassi) Goid. 1947</t>
  </si>
  <si>
    <t>Malassezia vespertilionis J.M. Lorch &amp; Vanderwolf 2018</t>
  </si>
  <si>
    <t>Drepanopeziza brunnea (Ellis &amp; Everh.) Rossman &amp; W.C. Allen 2017</t>
  </si>
  <si>
    <t>Metarhizium majus (J.R. Johnst.) J.F. Bisch., S.A. Rehner &amp; Humber 2009</t>
  </si>
  <si>
    <t>Metschnikowia bicuspidata (Metschn.) T. Kamienski 1900</t>
  </si>
  <si>
    <t>Metschnikowia pulcherrima Pitt &amp; M.W. Mill. 1968</t>
  </si>
  <si>
    <t>Microdochium bolleyi (R. Sprague) de Hoog &amp; Herm.-Nijh. 1977</t>
  </si>
  <si>
    <t>Moelleriella libera (Syd. &amp; P. Syd.) P. Chaverri &amp; M. Liu 2008</t>
  </si>
  <si>
    <t>Monascus olei Piedallu 1910</t>
  </si>
  <si>
    <t>Monilinia fructicola (G. Winter) Honey 1928</t>
  </si>
  <si>
    <t>Monilinia fructigena (Pers.) Honey 1936</t>
  </si>
  <si>
    <t>Monilinia laxa (Aderh. &amp; Ruhland) Honey 1945</t>
  </si>
  <si>
    <t>Mucor plumbeus Bonord. 1864</t>
  </si>
  <si>
    <t>Myriangium duriaei Mont. &amp; Berk. 1845</t>
  </si>
  <si>
    <t>Naganishia liquefaciens (Saito &amp; M. Ota) Xin Zhan Liu, F.Y. Bai, M. Groenew. &amp; Boekhout 2015</t>
  </si>
  <si>
    <t>Neurospora tetrasperma Shear &amp; B.O. Dodge 1927</t>
  </si>
  <si>
    <t>Oidiodendron majus G.L. Barron 1962</t>
  </si>
  <si>
    <t>Ceratocystis piceae (Münch) B.K. Bakshi 1950</t>
  </si>
  <si>
    <t>Penicillium angulare S.W. Peterson, E.M. Bayer &amp; Wicklow 2004</t>
  </si>
  <si>
    <t>Penicillium capsulatum Raper &amp; Fennell 1948</t>
  </si>
  <si>
    <t>Penicillium olsonii Bainier &amp; Sartory 1912</t>
  </si>
  <si>
    <t>Penicillium salamii G. Perrone, Frisvad, Samson &amp; Houbraken 2014</t>
  </si>
  <si>
    <t>Aspergillus alliaceus Thom &amp; Church 1945</t>
  </si>
  <si>
    <t>Phaeoacremonium minimum (Tul. &amp; C. Tul.) Gramaje, L. Mostert &amp; Crous 2015</t>
  </si>
  <si>
    <t>Phaeomoniella chlamydospora (W. Gams, Crous, M.J. Wingf. &amp; Mugnai) Crous &amp; W. Gams 2000</t>
  </si>
  <si>
    <t>Plenodomus tracheiphilus (Petri) Gruyter, Aveskamp &amp; Verkley 2012</t>
  </si>
  <si>
    <t>Metacordyceps chlamydosporia (H.C. Evans) G.H. Sung, J.M. Sung, Hywel-Jones &amp; Spatafora 2007</t>
  </si>
  <si>
    <t>Pseudocercospora musae (Zimm.) Deighton 1976</t>
  </si>
  <si>
    <t>Pyrenophora teres Drechsler 1923</t>
  </si>
  <si>
    <t>Rhizopus microsporus Tiegh. 1875</t>
  </si>
  <si>
    <t>Rhodotorula toruloides (I. Banno) Q.M. Wang, F.Y. Bai, M. Groenew. &amp; Boekhout 2015</t>
  </si>
  <si>
    <t>Sclerotinia nivalis I. Saito 1997</t>
  </si>
  <si>
    <t>Mycosphaerella linicola Naumov 1926</t>
  </si>
  <si>
    <t>Sordaria macrospora Auersw. 1866</t>
  </si>
  <si>
    <t>Synchytrium endobioticum (Schilb.) Percival 1909</t>
  </si>
  <si>
    <t>Talaromyces amestolkiae N. Yilmaz, Houbraken, Frisvad &amp; Samson 2012</t>
  </si>
  <si>
    <t>Taphrina deformans (Berk.) Tul. 1866</t>
  </si>
  <si>
    <t>Thelephora terrestris Ehrh. ex Fr. 1821</t>
  </si>
  <si>
    <t>Erysiphe necator Schwein. 1832</t>
  </si>
  <si>
    <t>Ustilaginoidea virens (Cooke) Takah. 1896</t>
  </si>
  <si>
    <t>Mycosarcoma maydis Bref. 1912</t>
  </si>
  <si>
    <t>Cytospora mali Grove 1935</t>
  </si>
  <si>
    <t>Cytospora chrysosperma (Pers.) Fr. 1823</t>
  </si>
  <si>
    <t>Venturia effusa (G. Winter) Rossman &amp; W.C. Allen 2016</t>
  </si>
  <si>
    <t>Xylaria arbuscula Sacc. 1878</t>
  </si>
  <si>
    <t>Xylaria hypoxylon (L.) Grev. 1824</t>
  </si>
  <si>
    <t>Zymoseptoria tritici (Roberge ex Desm.) Quaedvl. &amp; Crous 2011</t>
  </si>
  <si>
    <t>Ophiostoma piceae</t>
  </si>
  <si>
    <t>albugo candida</t>
  </si>
  <si>
    <t>Albugo candida (Pers. ex J.F. Gmel.) Roussel 1806</t>
  </si>
  <si>
    <t>alternaria brassicae</t>
  </si>
  <si>
    <t>Alternaria brassicae (Berk.) Sacc. 1880</t>
  </si>
  <si>
    <t>alternaria gaisen</t>
  </si>
  <si>
    <t>Alternaria gaisen Nagano ex Bokura 1924</t>
  </si>
  <si>
    <t>alternaria longipes</t>
  </si>
  <si>
    <t>Alternaria longipes (Ellis &amp; Everh.) E.W. Mason 1928</t>
  </si>
  <si>
    <t>alternaria porri</t>
  </si>
  <si>
    <t>Alternaria porri (Ellis) Cif. 1930</t>
  </si>
  <si>
    <t>alternaria radicina</t>
  </si>
  <si>
    <t>Alternaria radicina Meier, Drechsler &amp; E.D. Eddy 1922</t>
  </si>
  <si>
    <t>alternaria tomato</t>
  </si>
  <si>
    <t>Alternaria tomato (Cooke) L.R. Jones 1896</t>
  </si>
  <si>
    <t>annulohypoxylon annulatum</t>
  </si>
  <si>
    <t>Annulohypoxylon annulatum (Schwein.) Y.M. Ju, J.D. Rogers &amp; H.M. Hsieh 2005</t>
  </si>
  <si>
    <t>aphanomyces euteiches</t>
  </si>
  <si>
    <t>Aphanomyces euteiches Drechsler 1925</t>
  </si>
  <si>
    <t>aspergillus alliaceus</t>
  </si>
  <si>
    <t>aspergillus elegans</t>
  </si>
  <si>
    <t>Aspergillus elegans Gasperini 1887</t>
  </si>
  <si>
    <t>aspergillus flavipes</t>
  </si>
  <si>
    <t>Aspergillus flavipes (Bainier &amp; R. Sartory) Thom &amp; Church 1926</t>
  </si>
  <si>
    <t>aspergillus varians</t>
  </si>
  <si>
    <t>Aspergillus varians Wehmer 1899</t>
  </si>
  <si>
    <t>aspergillus wentii</t>
  </si>
  <si>
    <t>athelia rolfsii</t>
  </si>
  <si>
    <t>Agroathelia rolfsii (Sacc.) Redhead &amp; Mullineux 2023</t>
  </si>
  <si>
    <t>berkeleyomyces basicola</t>
  </si>
  <si>
    <t>Berkeleyomyces basicola (Berk. &amp; Broome) W.J. Nel, Z.W. de Beer, T.A. Duong &amp; M.J. Wingf. 2017</t>
  </si>
  <si>
    <t>bipolaris oryzae</t>
  </si>
  <si>
    <t>Bipolaris oryzae (Breda de Haan) Shoemaker 1959</t>
  </si>
  <si>
    <t>bipolaris sorokiniana</t>
  </si>
  <si>
    <t>biscogniauxia marginata</t>
  </si>
  <si>
    <t>Biscogniauxia marginata (Fr.) Pouzar 1979</t>
  </si>
  <si>
    <t>bisifusarium dimerum</t>
  </si>
  <si>
    <t>Bisifusarium dimerum (Penz.) L. Lombard &amp; Crous 2015</t>
  </si>
  <si>
    <t>blumeriella jaapii</t>
  </si>
  <si>
    <t>Blumeriella jaapii (Rehm) Arx 1961</t>
  </si>
  <si>
    <t>boeremia exigua</t>
  </si>
  <si>
    <t>Boeremia exigua (Desm.) Aveskamp, Gruyter &amp; Verkley 2010</t>
  </si>
  <si>
    <t>ceratocystis fimbriata</t>
  </si>
  <si>
    <t>ceratocystis paradoxa</t>
  </si>
  <si>
    <t>Ceratocystis paradoxa (Dade) C. Moreau 1952</t>
  </si>
  <si>
    <t>cercospora apii</t>
  </si>
  <si>
    <t>Cercospora apii Fresen. 1863</t>
  </si>
  <si>
    <t>cercospora beticola</t>
  </si>
  <si>
    <t>Cercospora beticola Sacc. 1876</t>
  </si>
  <si>
    <t>choanephora cucurbitarum</t>
  </si>
  <si>
    <t>chondrostereum purpureum</t>
  </si>
  <si>
    <t>Chondrostereum purpureum (Pers.) Pouzar 1959</t>
  </si>
  <si>
    <t>cladosporium cladosporioides</t>
  </si>
  <si>
    <t>Cladosporium cladosporioides (Fresen.) G.A. de Vries 1952</t>
  </si>
  <si>
    <t>cladosporium cucumerinum</t>
  </si>
  <si>
    <t>Cladosporium cucumerinum Ellis &amp; Arthur 1889</t>
  </si>
  <si>
    <t>cladosporium phlei</t>
  </si>
  <si>
    <t>Cladosporium phlei (C.T. Greg.) G.A. de Vries 1952</t>
  </si>
  <si>
    <t>colletotrichum coccodes</t>
  </si>
  <si>
    <t>Colletotrichum coccodes (Wallr.) S. Hughes 1958</t>
  </si>
  <si>
    <t>colletotrichum dematium</t>
  </si>
  <si>
    <t>Colletotrichum dematium (Pers.) Grove 1918</t>
  </si>
  <si>
    <t>colletotrichum falcatum</t>
  </si>
  <si>
    <t>Colletotrichum falcatum Went 1893</t>
  </si>
  <si>
    <t>colletotrichum fructi</t>
  </si>
  <si>
    <t>colletotrichum horii</t>
  </si>
  <si>
    <t>Colletotrichum horii B.S. Weir &amp; P.R. Johnst. 2010</t>
  </si>
  <si>
    <t>colletotrichum lindemuthianum</t>
  </si>
  <si>
    <t>Colletotrichum lindemuthianum (Sacc. &amp; Magnus) Briosi &amp; Cavara 1889</t>
  </si>
  <si>
    <t>colletotrichum linicola</t>
  </si>
  <si>
    <t>Colletotrichum linicola Pethybr. &amp; Laff. 1918</t>
  </si>
  <si>
    <t>colletotrichum musae</t>
  </si>
  <si>
    <t>Colletotrichum musae (Berk. &amp; M.A. Curtis) Arx 1957</t>
  </si>
  <si>
    <t>colletotrichum trifolii</t>
  </si>
  <si>
    <t>coniella diplodiella</t>
  </si>
  <si>
    <t>Coniella diplodiella (Speg.) Petr. &amp; Syd. 1927</t>
  </si>
  <si>
    <t>curvularia kusanoi</t>
  </si>
  <si>
    <t>curvularia trifolii</t>
  </si>
  <si>
    <t>Curvularia trifolii (Kauffman) Boedijn 1933</t>
  </si>
  <si>
    <t>cytospora chrysosperma</t>
  </si>
  <si>
    <t>cytospora leucostoma</t>
  </si>
  <si>
    <t>diaporthe citri</t>
  </si>
  <si>
    <t>Diaporthe citri (H.S. Fawc.) F.A. Wolf 1926</t>
  </si>
  <si>
    <t>diaporthe destruens</t>
  </si>
  <si>
    <t>Diaporthe destruens (Harter) Hirooka, Minosh. &amp; Rossman 2020</t>
  </si>
  <si>
    <t>didymella pinodella</t>
  </si>
  <si>
    <t>Didymella pinodella (L.K. Jones) Qian Chen &amp; L. Cai 2015</t>
  </si>
  <si>
    <t>didymella pinodes</t>
  </si>
  <si>
    <t>Didymella pinodes (Berk. &amp; A. Bloxam) Petr. 1924</t>
  </si>
  <si>
    <t>didymella pisi</t>
  </si>
  <si>
    <t>Didymella pisi Chilvers, J.D. Rogers &amp; Peever 2009</t>
  </si>
  <si>
    <t>dothiorella sarmentorum</t>
  </si>
  <si>
    <t>Dothiorella sarmentorum (Fr.) A.J.L. Phillips, A. Alves &amp; J. Luque 2005</t>
  </si>
  <si>
    <t>earliella scabrosa</t>
  </si>
  <si>
    <t>Earliella scabrosa (Pers.) Gilb. &amp; Ryvarden 1985</t>
  </si>
  <si>
    <t>elsinoe fawcettii</t>
  </si>
  <si>
    <t>Elsinoe fawcettii Bitanc. &amp; Jenkins 1936</t>
  </si>
  <si>
    <t>endothia radicalis</t>
  </si>
  <si>
    <t>Cryphonectria radicalis (Schwein. ex Fr.) M.E. Barr 1978</t>
  </si>
  <si>
    <t>epicoccum sorghinum</t>
  </si>
  <si>
    <t>Epicoccum sorghinum (Sacc.) Aveskamp, Gruyter &amp; Verkley 2010</t>
  </si>
  <si>
    <t>eremothecium coryli</t>
  </si>
  <si>
    <t>Eremothecium coryli (Peglion) Kurtzman 1995</t>
  </si>
  <si>
    <t>erysiphe necator</t>
  </si>
  <si>
    <t>exserohilum turcicum</t>
  </si>
  <si>
    <t>fomitopsis pinicola</t>
  </si>
  <si>
    <t>Fomitopsis pinicola (Sw.) P. Karst. 1881</t>
  </si>
  <si>
    <t>fusarium acuminatum</t>
  </si>
  <si>
    <t>Fusarium acuminatum Ellis &amp; Everh. 1895</t>
  </si>
  <si>
    <t>fusarium anguioides</t>
  </si>
  <si>
    <t>Fusarium anguioides Sherb. 1915</t>
  </si>
  <si>
    <t>fusarium anthophilum</t>
  </si>
  <si>
    <t>Fusarium anthophilum (A. Braun) Wollenw. 1916</t>
  </si>
  <si>
    <t>fusarium avenaceum</t>
  </si>
  <si>
    <t>Fusarium avenaceum (Fr.) Sacc. 1886</t>
  </si>
  <si>
    <t>fusarium camptoceras</t>
  </si>
  <si>
    <t>Fusarium camptoceras Wollenw. &amp; Reinking 1925</t>
  </si>
  <si>
    <t>fusarium chlamydosporum</t>
  </si>
  <si>
    <t>Fusarium chlamydosporum Wollenw. &amp; Reinking 1925</t>
  </si>
  <si>
    <t>fusarium culmorum</t>
  </si>
  <si>
    <t>fusarium flocciferum</t>
  </si>
  <si>
    <t>Fusarium flocciferum Corda 1828</t>
  </si>
  <si>
    <t>fusarium graminum</t>
  </si>
  <si>
    <t>Fusarium graminum Corda 1837</t>
  </si>
  <si>
    <t>fusarium lateritium</t>
  </si>
  <si>
    <t>Fusarium lateritium Nees 1816</t>
  </si>
  <si>
    <t>fusarium longipes</t>
  </si>
  <si>
    <t>fusarium roseum</t>
  </si>
  <si>
    <t>Fusarium sambucinum Fuckel 1870</t>
  </si>
  <si>
    <t>gaeumannomyces graminis</t>
  </si>
  <si>
    <t>Gaeumannomyces graminis (Sacc.) Arx &amp; D.L. Olivier 1952</t>
  </si>
  <si>
    <t>globisporangium debaryanum</t>
  </si>
  <si>
    <t>Globisporangium debaryanum (R. Hesse) Uzuhashi, Tojo &amp; Kakish. 2010</t>
  </si>
  <si>
    <t>globisporangium splendens</t>
  </si>
  <si>
    <t>Globisporangium splendens (Hans Braun) Uzuhashi, Tojo &amp; Kakish. 2010</t>
  </si>
  <si>
    <t>globisporangium ultimum</t>
  </si>
  <si>
    <t>Globisporangium ultimum (Trow) Uzuhashi, Tojo &amp; Kakish. 2010</t>
  </si>
  <si>
    <t>helminthosporium solani</t>
  </si>
  <si>
    <t>Helminthosporium solani Durieu &amp; Mont. 1849</t>
  </si>
  <si>
    <t>hypomyces perniciosus</t>
  </si>
  <si>
    <t>Mycogone perniciosa (Magnus) Delacr. 1900</t>
  </si>
  <si>
    <t>ilyonectria mors-panacis</t>
  </si>
  <si>
    <t>Ilyonectria mors-panacis (A.A. Hildebr.) A. Cabral &amp; Crous 2012</t>
  </si>
  <si>
    <t>ilyonectria robusta</t>
  </si>
  <si>
    <t>Ilyonectria robusta (A.A. Hildebr.) A. Cabral &amp; Crous 2012</t>
  </si>
  <si>
    <t>lenzites betulina</t>
  </si>
  <si>
    <t>Lenzites betulinus (L.) Fr. 1838</t>
  </si>
  <si>
    <t>leptosphaeria avenaria</t>
  </si>
  <si>
    <t>Leptosphaeria avenaria G.F. Weber 1922</t>
  </si>
  <si>
    <t>melampsora lini</t>
  </si>
  <si>
    <t>Melampsora lini (Ehrenb.) Thüm. 1878</t>
  </si>
  <si>
    <t>monilinia fructigena</t>
  </si>
  <si>
    <t>mucor racemosus</t>
  </si>
  <si>
    <t>Mucor racemosus Fresen. 1850</t>
  </si>
  <si>
    <t>mycosphaerella linicola</t>
  </si>
  <si>
    <t>mycosphaerella musicola</t>
  </si>
  <si>
    <t>nakataea oryzae</t>
  </si>
  <si>
    <t>Nakataea oryzae (Catt.) J. Luo &amp; N. Zhang 2013</t>
  </si>
  <si>
    <t>neoantrodia serialis</t>
  </si>
  <si>
    <t>Neoantrodia serialis (Fr.) Audet 2017</t>
  </si>
  <si>
    <t>neocosmospora phaseoli</t>
  </si>
  <si>
    <t>Fusarium phaseoli (Burkh.) T. Aoki &amp; O'Donnell 2003</t>
  </si>
  <si>
    <t>neocosmospora pisi</t>
  </si>
  <si>
    <t>neofusicoccum ribis</t>
  </si>
  <si>
    <t>Neofusicoccum ribis (Slippers, Crous &amp; M.J. Wingf.) Crous, Slippers &amp; A.J.L. Phillips 2006</t>
  </si>
  <si>
    <t>nigrospora oryzae</t>
  </si>
  <si>
    <t>Nigrospora oryzae (Berk. &amp; Broome) Petch 1924</t>
  </si>
  <si>
    <t>ophiosphaerella herpotricha</t>
  </si>
  <si>
    <t>Ophiosphaerella herpotricha (Fr.) J. Walker 1980</t>
  </si>
  <si>
    <t>paraconiothyrium fuckelii</t>
  </si>
  <si>
    <t>Coniothyrium fuckelii Sacc. 1876</t>
  </si>
  <si>
    <t>penicillium glaucum</t>
  </si>
  <si>
    <t>perenniporia fraxinea</t>
  </si>
  <si>
    <t>Vanderbylia fraxinea (Bull.) D.A. Reid 1973</t>
  </si>
  <si>
    <t>peronosclerospora sorghi</t>
  </si>
  <si>
    <t>Peronosclerospora sorghi (W. Weston &amp; Uppal) C.G. Shaw 1978</t>
  </si>
  <si>
    <t>peronospora destructor</t>
  </si>
  <si>
    <t>Peronospora destructor (Berk.) Casp. ex Berk. 1860</t>
  </si>
  <si>
    <t>peronospora farinosa</t>
  </si>
  <si>
    <t>phellinus pini</t>
  </si>
  <si>
    <t>Porodaedalea pini (Brot.) Murrill 1905</t>
  </si>
  <si>
    <t>phomopsis phaseoli</t>
  </si>
  <si>
    <t>phycomyces nitens</t>
  </si>
  <si>
    <t>Phycomyces nitens (C. Agardh) Kunze 1823</t>
  </si>
  <si>
    <t>phyllosticta ampelicida</t>
  </si>
  <si>
    <t>Phyllosticta ampelicida (Engelm.) Aa 1973</t>
  </si>
  <si>
    <t>phyllosticta citricarpa</t>
  </si>
  <si>
    <t>Phyllosticta citricarpa (McAlpine) Aa 1973</t>
  </si>
  <si>
    <t>phytophthora boehmeriae</t>
  </si>
  <si>
    <t>Phytophthora boehmeriae Sawada 1927</t>
  </si>
  <si>
    <t>phytophthora cactorum</t>
  </si>
  <si>
    <t>Phytophthora cactorum (Lebert &amp; Cohn) J. Schröt. 1886</t>
  </si>
  <si>
    <t>phytophthora cambivora</t>
  </si>
  <si>
    <t>Phytophthora cambivora (Petri) Buisman 1927</t>
  </si>
  <si>
    <t>phytophthora capsici</t>
  </si>
  <si>
    <t>Phytophthora capsici Leonian 1922</t>
  </si>
  <si>
    <t>phytophthora cinnamomi</t>
  </si>
  <si>
    <t>Phytophthora cinnamomi Rands 1922</t>
  </si>
  <si>
    <t>phytophthora citricola</t>
  </si>
  <si>
    <t>Phytophthora citricola Sawada 1927</t>
  </si>
  <si>
    <t>phytophthora citrophthora</t>
  </si>
  <si>
    <t>Phytophthora citrophthora (R.E. Sm. &amp; E.H. Sm.) Leonian 1925</t>
  </si>
  <si>
    <t>phytophthora colocasiae</t>
  </si>
  <si>
    <t>Phytophthora colocasiae Racib. 1900</t>
  </si>
  <si>
    <t>phytophthora cryptogea</t>
  </si>
  <si>
    <t>Phytophthora cryptogea Pethybr. &amp; Laff. 1919</t>
  </si>
  <si>
    <t>phytophthora hibernalis</t>
  </si>
  <si>
    <t>Phytophthora hibernalis Carne 1925</t>
  </si>
  <si>
    <t>phytophthora meadii</t>
  </si>
  <si>
    <t>Phytophthora meadii McRae 1918</t>
  </si>
  <si>
    <t>phytophthora nicotianae</t>
  </si>
  <si>
    <t>phytophthora pini</t>
  </si>
  <si>
    <t>Phytophthora pini Leonian 1925</t>
  </si>
  <si>
    <t>phytopythium vexans</t>
  </si>
  <si>
    <t>Phytopythium vexans (de Bary) Abad, de Cock, Bala, Robideau, A.M. Lodhi &amp; Lévesque 2014</t>
  </si>
  <si>
    <t>plasmopara viticola</t>
  </si>
  <si>
    <t>Plasmopara viticola (Berk. &amp; M.A. Curtis) Berl. &amp; De Toni 1888</t>
  </si>
  <si>
    <t>plenodomus tracheiphilus</t>
  </si>
  <si>
    <t>pleospora lycopersici</t>
  </si>
  <si>
    <t>Pleospora lycopersici Marchal &amp; É.J. Marchal 1921</t>
  </si>
  <si>
    <t>podosphaera leucotricha</t>
  </si>
  <si>
    <t>Podosphaera leucotricha (Ellis &amp; Everh.) E.S. Salmon 1900</t>
  </si>
  <si>
    <t>porostereum spadiceum</t>
  </si>
  <si>
    <t>Porostereum spadiceum (Pers.) Hjortstam &amp; Ryvarden 1990</t>
  </si>
  <si>
    <t>pseudoperonospora cubensis</t>
  </si>
  <si>
    <t>Pseudoperonospora cubensis (Berk. &amp; M.A. Curtis) Rostovzev 1903</t>
  </si>
  <si>
    <t>pseudopestalotiopsis theae</t>
  </si>
  <si>
    <t>Pseudopestalotiopsis theae (Sawada) Maharachch., K.D. Hyde &amp; Crous 2014</t>
  </si>
  <si>
    <t>pycnoporus sanguineus</t>
  </si>
  <si>
    <t>Fabisporus sanguineus (L.) Zmitr. 2001</t>
  </si>
  <si>
    <t>pyrenophora graminea</t>
  </si>
  <si>
    <t>Pyrenophora graminea S. Ito &amp; Kurib. 1930</t>
  </si>
  <si>
    <t>pyrenophora teres</t>
  </si>
  <si>
    <t>pythium aphanidermatum</t>
  </si>
  <si>
    <t>Pythium aphanidermatum (Edson) Fitzp. 1923</t>
  </si>
  <si>
    <t>pythium arrhenomanes</t>
  </si>
  <si>
    <t>Pythium arrhenomanes Drechsler 1928</t>
  </si>
  <si>
    <t>pythium monospermum</t>
  </si>
  <si>
    <t>Pythium monospermum Pringsh. 1858</t>
  </si>
  <si>
    <t>pythium scleroteichum</t>
  </si>
  <si>
    <t>Pythium scleroteichum Drechsler 1934</t>
  </si>
  <si>
    <t>rectifusarium ventricosum</t>
  </si>
  <si>
    <t>Rectifusarium ventricosum (Appel &amp; Wollenw.) L. Lombard &amp; Crous 2015</t>
  </si>
  <si>
    <t>rhizoctonia oryzae-sativae</t>
  </si>
  <si>
    <t>Rhizoctonia oryzae-sativae (Sawada) Mordue 1974</t>
  </si>
  <si>
    <t>sclerospora graminicola</t>
  </si>
  <si>
    <t>Sclerospora graminicola (Sacc.) J. Schröt. 1886</t>
  </si>
  <si>
    <t>sclerotinia minor</t>
  </si>
  <si>
    <t>Sclerotinia minor Jagger 1920</t>
  </si>
  <si>
    <t>serpula himantioides</t>
  </si>
  <si>
    <t>Serpula himantioides (Fr.) P. Karst. 1884</t>
  </si>
  <si>
    <t>sporisorium reilianum</t>
  </si>
  <si>
    <t>Sporisorium reilianum (J.G. Kühn) Langdon &amp; Full. 1978</t>
  </si>
  <si>
    <t>sporisorium sorghi</t>
  </si>
  <si>
    <t>Sporisorium sorghi Ehrenb. ex Link 1825</t>
  </si>
  <si>
    <t>stemphylium vesicarium</t>
  </si>
  <si>
    <t>Stemphylium vesicarium (Wallr.) E.G. Simmons 1969</t>
  </si>
  <si>
    <t>stenocarpella maydis</t>
  </si>
  <si>
    <t>Stenocarpella maydis (Berk.) B. Sutton 1980</t>
  </si>
  <si>
    <t>stigmina carpophila</t>
  </si>
  <si>
    <t>Stigmina carpophila (Lév.) M.B. Ellis 1959</t>
  </si>
  <si>
    <t>stromatinia cepivora</t>
  </si>
  <si>
    <t>Stromatinia cepivora (Berk.) Whetzel 1945</t>
  </si>
  <si>
    <t>synchytrium endobioticum</t>
  </si>
  <si>
    <t>syzygites megalocarpus</t>
  </si>
  <si>
    <t>Syzygites megalocarpus Ehrenb. 1818</t>
  </si>
  <si>
    <t>talaromyces purpureogenus</t>
  </si>
  <si>
    <t>Talaromyces purpureogenus Samson, N. Yilmaz, Houbraken, Spierenb., Seifert, Peterson, Varga &amp; Frisvad 2011</t>
  </si>
  <si>
    <t>taphrina deformans</t>
  </si>
  <si>
    <t>tilletia laevis</t>
  </si>
  <si>
    <t>Tilletia laevis J.G. Kühn 1873</t>
  </si>
  <si>
    <t>tilletia tritici</t>
  </si>
  <si>
    <t>Ustilago tritici (Bjerk.) Rostr. 1890</t>
  </si>
  <si>
    <t>trametes gibbosa</t>
  </si>
  <si>
    <t>Trametes gibbosa (Pers.) Fr. 1838</t>
  </si>
  <si>
    <t>ustilago hordei</t>
  </si>
  <si>
    <t>Ustilago hordei (Pers.) Lagerh. 1889</t>
  </si>
  <si>
    <t>ustilago maydis</t>
  </si>
  <si>
    <t>ustilago nuda</t>
  </si>
  <si>
    <t>Ustilago nuda (C.N. Jensen) Kellerm. &amp; Swingle 1890</t>
  </si>
  <si>
    <t>venturia carpophila</t>
  </si>
  <si>
    <t>Venturia carpophila E.E. Fisher 1961</t>
  </si>
  <si>
    <t>venturia effusa</t>
  </si>
  <si>
    <t>verpa bohemica</t>
  </si>
  <si>
    <t>Verpa bohemica (Krombh.) J. Schröt. 1893</t>
  </si>
  <si>
    <t>xylaria arbuscula</t>
  </si>
  <si>
    <t>xylaria hypoxylon</t>
  </si>
  <si>
    <t>xylaria polymorpha</t>
  </si>
  <si>
    <t>Xylaria polymorpha (Pers.) Grev. 1824</t>
  </si>
  <si>
    <t>zymoseptoria tritici</t>
  </si>
  <si>
    <t>Number of entries in Togashi db</t>
  </si>
  <si>
    <t>Togashi</t>
  </si>
  <si>
    <t>TOGASHI TEMPERATURE RANGE</t>
  </si>
  <si>
    <t xml:space="preserve">Aspergillus thermomutatus, Neosartorya pseudofischeri </t>
  </si>
  <si>
    <t>Kazachstania pintolopesii , Kazachstania slooffiae, Kazachstania telluris, Candida bovina, Kazachstania bovina, Arxiozyma telluris, Candida pintolopesii, Candida slooffiae, Saccharomyces telluris, Torulopsis bovina</t>
  </si>
  <si>
    <t>Naganishia antarctica, Naganishia friedmannii</t>
  </si>
  <si>
    <t>Paecilomyces niveus, Byssochlamys spectabilis</t>
  </si>
  <si>
    <t>Cercospora zeae-maydis Tehon &amp; E.Y. Daniels 1925</t>
  </si>
  <si>
    <t>Cryptococcus neoformans (San Felice) Vuill. 1901</t>
  </si>
  <si>
    <t>Zasmidium cellare (Pers.) Fr. 1849</t>
  </si>
  <si>
    <t>Sclerotium rolfsii</t>
  </si>
  <si>
    <t>Alternaria tomatophila</t>
  </si>
  <si>
    <t>Aureobasidium pullulans var. subglaciale</t>
  </si>
  <si>
    <t>Cochliobolus miyabeanus</t>
  </si>
  <si>
    <t>fusarium dimerum</t>
  </si>
  <si>
    <t>colletotrichum lini</t>
  </si>
  <si>
    <t xml:space="preserve"> Ascochyta pisi</t>
  </si>
  <si>
    <t>Pycnoporus sanguineus</t>
  </si>
  <si>
    <t>Pythium ultimum</t>
  </si>
  <si>
    <t>Trametes betulina</t>
  </si>
  <si>
    <t>Parastagonospora avenae</t>
  </si>
  <si>
    <t>septoria linicola</t>
  </si>
  <si>
    <t>Khuskia oryzae</t>
  </si>
  <si>
    <t>Neocosmospora metavorans</t>
  </si>
  <si>
    <t>Hypholoma sublateritium</t>
  </si>
  <si>
    <t>Diaporthe phaseolorum (Cooke &amp; Ellis) Sacc. 1882</t>
  </si>
  <si>
    <t>Diaporthe caulivora</t>
  </si>
  <si>
    <t>Melampsora allii­-populina</t>
  </si>
  <si>
    <t>Ceratorhiza oryzae-sativae</t>
  </si>
  <si>
    <t>Wilsonomyces Carpophilus</t>
  </si>
  <si>
    <t>Suillus clintonianus</t>
  </si>
  <si>
    <t>Cubamyces menziesii (Berk.) Lücking 2020</t>
  </si>
  <si>
    <t>Protein number</t>
  </si>
  <si>
    <t>Saxispiralis lemnorum</t>
  </si>
  <si>
    <t>Trametes trogii</t>
  </si>
  <si>
    <t>Coriolopsis trogii</t>
  </si>
  <si>
    <t>Cryptococcus neoformans</t>
  </si>
  <si>
    <t>Leucoagaricus gongylophorus</t>
  </si>
  <si>
    <t>Cochliobolus lunatus</t>
  </si>
  <si>
    <t>Cercospora zeae-maydis</t>
  </si>
  <si>
    <t>Cladosporium halotolerans</t>
  </si>
  <si>
    <t>Cladosporium velox</t>
  </si>
  <si>
    <t>Zasmidium cellare</t>
  </si>
  <si>
    <t>Rhodotorula frigidialcoholis</t>
  </si>
  <si>
    <t>Rhodotorula JG1b</t>
  </si>
  <si>
    <t>Humicola lanuginosa, Humicola insolens</t>
  </si>
  <si>
    <t>Scytalidium thermophilum</t>
  </si>
  <si>
    <t>Pleurotus giganteus</t>
  </si>
  <si>
    <t>Saxispiralis lemnorum D.S. Paiva &amp; A. Portugal 2023</t>
  </si>
  <si>
    <t>Trametes trogii Berk. 1850</t>
  </si>
  <si>
    <t>Leucoagaricus gongylophorus (Möller) Singer 1986</t>
  </si>
  <si>
    <t>Curvularia lunata (Wakker) Boedijn 1933</t>
  </si>
  <si>
    <t>Cladosporium halotolerans Zalar, de Hoog &amp; Gunde-Cim. 2007</t>
  </si>
  <si>
    <t>Cladosporium velox Zalar, de Hoog &amp; Gunde-Cim. 2007</t>
  </si>
  <si>
    <t>Rhodotorula frigidialcoholis Touchette &amp; Zalar 2021</t>
  </si>
  <si>
    <t>Pleurotus giganteus (Berk.) Karun. &amp; K.D. Hyde 2011</t>
  </si>
  <si>
    <t>Uniprot</t>
  </si>
  <si>
    <t xml:space="preserve"> Cochliobolus carbonum</t>
  </si>
  <si>
    <t>number of proteins</t>
  </si>
  <si>
    <t>total number of amino acids</t>
  </si>
  <si>
    <t>Corynespora cassiicola </t>
  </si>
  <si>
    <t>Antrodia serialis, 
Fomitopsis serialis</t>
  </si>
  <si>
    <t>Fusarium ventricosum</t>
  </si>
  <si>
    <t>cellular organisms; Eukaryota; Opisthokonta; Fungi; Dikarya; Basidiomycota; Agaricomycotina; Agaricomycetes; Agaricomycetidae; Agaricales; Agaricineae; Agaricaceae; Agaricus</t>
  </si>
  <si>
    <t>cellular organisms; Eukaryota; Opisthokonta; Fungi; Dikarya; Basidiomycota; Agaricomycotina; Agaricomycetes; Agaricomycetidae; Amylocorticiales; Amylocorticiaceae; Agroathelia</t>
  </si>
  <si>
    <t>cellular organisms; Eukaryota; Opisthokonta; Fungi; Dikarya; Ascomycota; saccharomyceta; Pezizomycotina; leotiomyceta; sordariomyceta; Sordariomycetes; Hypocreomycetidae; Hypocreales; Cordycipitaceae; Akanthomyces</t>
  </si>
  <si>
    <t>cellular organisms; Eukaryota; Sar; Stramenopiles; Oomycota; Albuginales; Albuginaceae; Albugo</t>
  </si>
  <si>
    <t>cellular organisms; Eukaryota; Opisthokonta; Fungi; Fungi incertae sedis; Blastocladiomycota; Blastocladiomycetes; Blastocladiales; Blastocladiaceae; Allomyces</t>
  </si>
  <si>
    <t>cellular organisms; Eukaryota; Opisthokonta; Fungi; Dikarya; Ascomycota; saccharomyceta; Pezizomycotina; leotiomyceta; dothideomyceta; Dothideomycetes; Pleosporomycetidae; Pleosporales; Pleosporineae; Pleosporaceae; Alternaria; Alternaria sect. Alternaria; Alternaria alternata complex</t>
  </si>
  <si>
    <t>cellular organisms; Eukaryota; Opisthokonta; Fungi; Dikarya; Ascomycota; saccharomyceta; Pezizomycotina; leotiomyceta; dothideomyceta; Dothideomycetes; Pleosporomycetidae; Pleosporales; Pleosporineae; Pleosporaceae; Alternaria</t>
  </si>
  <si>
    <t>cellular organisms; Eukaryota; Opisthokonta; Fungi; Dikarya; Ascomycota; saccharomyceta; Pezizomycotina; leotiomyceta; dothideomyceta; Dothideomycetes; Pleosporomycetidae; Pleosporales; Pleosporineae; Pleosporaceae; Alternaria; Alternaria sect. Brassicicola</t>
  </si>
  <si>
    <t>cellular organisms; Eukaryota; Opisthokonta; Fungi; Dikarya; Ascomycota; saccharomyceta; Pezizomycotina; leotiomyceta; dothideomyceta; Dothideomycetes; Pleosporomycetidae; Pleosporales; Pleosporineae; Pleosporaceae; Alternaria; Alternaria sect. Porri</t>
  </si>
  <si>
    <t>cellular organisms; Eukaryota; Opisthokonta; Fungi; Dikarya; Ascomycota; saccharomyceta; Pezizomycotina; leotiomyceta; dothideomyceta; Dothideomycetes; Pleosporomycetidae; Pleosporales; Pleosporineae; Pleosporaceae; Alternaria; Alternaria sect. Radicina</t>
  </si>
  <si>
    <t>cellular organisms; Eukaryota; Opisthokonta; Fungi; Dikarya; Basidiomycota; Agaricomycotina; Agaricomycetes; Agaricomycetidae; Agaricales; Pluteineae; Amanitaceae; Amanita</t>
  </si>
  <si>
    <t>cellular organisms; Eukaryota; Opisthokonta; Fungi; Dikarya; Ascomycota; saccharomyceta; Pezizomycotina; leotiomyceta; sordariomyceta; Leotiomycetes; Helotiales; Amorphothecaceae; Amorphotheca</t>
  </si>
  <si>
    <t>cellular organisms; Eukaryota; Opisthokonta; Fungi; Dikarya; Ascomycota; saccharomyceta; Pezizomycotina; leotiomyceta; sordariomyceta; Sordariomycetes; Xylariomycetidae; Xylariales; Hypoxylaceae; Annulohypoxylon</t>
  </si>
  <si>
    <t>cellular organisms; Eukaryota; Sar; Stramenopiles; Oomycota; Saprolegniales; Saprolegniaceae; Aphanomyces</t>
  </si>
  <si>
    <t>cellular organisms; Eukaryota; Opisthokonta; Fungi; Dikarya; Ascomycota; saccharomyceta; Pezizomycotina; Orbiliomycetes; Orbiliales; Orbiliaceae; Orbilia</t>
  </si>
  <si>
    <t>cellular organisms; Eukaryota; Opisthokonta; Fungi; Dikarya; Basidiomycota; Agaricomycotina; Agaricomycetes; Agaricomycetes incertae sedis; Russulales; Auriscalpiaceae; Artomyces</t>
  </si>
  <si>
    <t>cellular organisms; Eukaryota; Opisthokonta; Fungi; Dikarya; Ascomycota; saccharomyceta; Pezizomycotina; leotiomyceta; Eurotiomycetes; Eurotiomycetidae; Onygenales; Ascosphaeraceae; Ascosphaera</t>
  </si>
  <si>
    <t>cellular organisms; Eukaryota; Opisthokonta; Fungi; Dikarya; Ascomycota; saccharomyceta; Pezizomycotina; leotiomyceta; Eurotiomycetes; Eurotiomycetidae; Eurotiales; Aspergillaceae; Aspergillus; Aspergillus subgen. Cremei</t>
  </si>
  <si>
    <t>cellular organisms; Eukaryota; Opisthokonta; Fungi; Dikarya; Ascomycota; saccharomyceta; Pezizomycotina; leotiomyceta; sordariomyceta; Sordariomycetes; Hypocreomycetidae; Hypocreales; Clavicipitaceae; Atkinsonella</t>
  </si>
  <si>
    <t>cellular organisms; Eukaryota; Opisthokonta; Fungi; Dikarya; Basidiomycota; Agaricomycotina; Agaricomycetes; Agaricomycetes incertae sedis; Auriculariales; Auriculariaceae; Auricularia</t>
  </si>
  <si>
    <t>cellular organisms; Eukaryota; Opisthokonta; Fungi; Dikarya; Ascomycota; saccharomyceta; Pezizomycotina; leotiomyceta; sordariomyceta; Sordariomycetes; Hypocreomycetidae; Hypocreales; Cordycipitaceae; Beauveria</t>
  </si>
  <si>
    <t>cellular organisms; Eukaryota; Opisthokonta; Fungi; Dikarya; Ascomycota; saccharomyceta; Pezizomycotina; leotiomyceta; sordariomyceta; Sordariomycetes; Hypocreomycetidae; Microascales; Ceratocystidaceae; Berkeleyomyces</t>
  </si>
  <si>
    <t>cellular organisms; Eukaryota; Opisthokonta; Fungi; Dikarya; Ascomycota; saccharomyceta; Pezizomycotina; leotiomyceta; dothideomyceta; Dothideomycetes; Pleosporomycetidae; Pleosporales; Pleosporineae; Pleosporaceae; Bipolaris</t>
  </si>
  <si>
    <t>cellular organisms; Eukaryota; Opisthokonta; Fungi; Dikarya; Ascomycota; saccharomyceta; Pezizomycotina; leotiomyceta; sordariomyceta; Sordariomycetes; Xylariomycetidae; Xylariales; Xylariaceae; Biscogniauxia</t>
  </si>
  <si>
    <t>cellular organisms; Eukaryota; Opisthokonta; Fungi; Dikarya; Ascomycota; saccharomyceta; Pezizomycotina; leotiomyceta; sordariomyceta; Sordariomycetes; Hypocreomycetidae; Hypocreales; Nectriaceae; Fusarium; Fusarium dimerum species complex</t>
  </si>
  <si>
    <t>cellular organisms; Eukaryota; Opisthokonta; Fungi; Dikarya; Basidiomycota; Agaricomycotina; Agaricomycetes; Agaricomycetes incertae sedis; Polyporales; Phanerochaetaceae; Bjerkandera</t>
  </si>
  <si>
    <t>cellular organisms; Eukaryota; Opisthokonta; Fungi; Dikarya; Ascomycota; saccharomyceta; Pezizomycotina; leotiomyceta; sordariomyceta; Leotiomycetes; Erysiphales; Erysiphaceae; Blumeria</t>
  </si>
  <si>
    <t>cellular organisms; Eukaryota; Opisthokonta; Fungi; Dikarya; Ascomycota; saccharomyceta; Pezizomycotina; leotiomyceta; sordariomyceta; Leotiomycetes; Helotiales; Drepanopezizaceae; Blumeriella</t>
  </si>
  <si>
    <t>cellular organisms; Eukaryota; Opisthokonta; Fungi; Dikarya; Ascomycota; saccharomyceta; Pezizomycotina; leotiomyceta; dothideomyceta; Dothideomycetes; Pleosporomycetidae; Pleosporales; Pleosporineae; Didymellaceae; Boeremia</t>
  </si>
  <si>
    <t>cellular organisms; Eukaryota; Opisthokonta; Fungi; Dikarya; Ascomycota; saccharomyceta; Pezizomycotina; leotiomyceta; dothideomyceta; Dothideomycetes; Dothideomycetes incertae sedis; Botryosphaeriales; Botryosphaeriaceae; Botryosphaeria</t>
  </si>
  <si>
    <t>cellular organisms; Eukaryota; Opisthokonta; Fungi; Dikarya; Basidiomycota; Pucciniomycotina; Cystobasidiomycetes; Cystobasidiomycetes incertae sedis; Buckleyzyma</t>
  </si>
  <si>
    <t>cellular organisms; Eukaryota; Opisthokonta; Fungi; Dikarya; Basidiomycota; Agaricomycotina; Tremellomycetes; Tremellales; Bulleraceae; Bullera</t>
  </si>
  <si>
    <t>cellular organisms; Eukaryota; Opisthokonta; Fungi; Dikarya; Ascomycota; saccharomyceta; Pezizomycotina; leotiomyceta; sordariomyceta; Leotiomycetes; Helotiales; Ploettnerulaceae; Cadophora</t>
  </si>
  <si>
    <t>cellular organisms; Eukaryota; Opisthokonta; Fungi; Fungi incertae sedis; Mucoromycota; Mucoromycota incertae sedis; Calcarisporiellales; Calcarisporiellaceae; Calcarisporiella</t>
  </si>
  <si>
    <t>cellular organisms; Eukaryota; Opisthokonta; Fungi; Dikarya; Ascomycota; saccharomyceta; Saccharomycotina; Pichiomycetes; Serinales; Debaryomycetaceae; Candida/Lodderomyces clade; Candida</t>
  </si>
  <si>
    <t>cellular organisms; Eukaryota; Opisthokonta; Fungi; Dikarya; Ascomycota; saccharomyceta; Saccharomycotina; Pichiomycetes; Serinales; Metschnikowiaceae; Clavispora</t>
  </si>
  <si>
    <t>cellular organisms; Eukaryota; Opisthokonta; Fungi; Dikarya; Ascomycota; saccharomyceta; Saccharomycotina; Pichiomycetes; Serinales; Debaryomycetaceae; Yamadazyma</t>
  </si>
  <si>
    <t>cellular organisms; Eukaryota; Opisthokonta; Fungi; Dikarya; Ascomycota; saccharomyceta; Saccharomycotina; Pichiomycetes; Serinales; Metschnikowiaceae; Candidozyma</t>
  </si>
  <si>
    <t>cellular organisms; Eukaryota; Opisthokonta; Fungi; Dikarya; Ascomycota; saccharomyceta; Saccharomycotina; Pichiomycetes; Serinales; Metschnikowiaceae; Sungouiella</t>
  </si>
  <si>
    <t>cellular organisms; Eukaryota; Opisthokonta; Fungi; Dikarya; Ascomycota; saccharomyceta; Saccharomycotina; Pichiomycetes; Pichiales; Pichiaceae; Ogataea; Ogataea/Candida clade</t>
  </si>
  <si>
    <t>cellular organisms; Eukaryota; Opisthokonta; Fungi; Dikarya; Ascomycota; saccharomyceta; Saccharomycotina; Saccharomycetes; Phaffomycetales; Phaffomycetaceae; Barnettozyma; Barnettozyma/Candida clade</t>
  </si>
  <si>
    <t>cellular organisms; Eukaryota; Opisthokonta; Fungi; Dikarya; Basidiomycota; Agaricomycotina; Agaricomycetes; Agaricomycetes incertae sedis; Cantharellales; Cantharellaceae; Cantharellus</t>
  </si>
  <si>
    <t>cellular organisms; Eukaryota; Opisthokonta; Fungi; Dikarya; Ascomycota; saccharomyceta; Pezizomycotina; leotiomyceta; Eurotiomycetes; Chaetothyriomycetidae; Chaetothyriales; Herpotrichiellaceae; Capronia</t>
  </si>
  <si>
    <t>cellular organisms; Eukaryota; Opisthokonta; Fungi; Fungi incertae sedis; Blastocladiomycota; Blastocladiomycetes; Blastocladiales; Catenariaceae; Catenaria</t>
  </si>
  <si>
    <t>cellular organisms; Eukaryota; Opisthokonta; Fungi; Dikarya; Ascomycota; saccharomyceta; Pezizomycotina; leotiomyceta; sordariomyceta; Sordariomycetes; Sordariomycetidae; Ophiostomatales; Ophiostomataceae; Ophiostoma</t>
  </si>
  <si>
    <t>cellular organisms; Eukaryota; Opisthokonta; Fungi; Dikarya; Basidiomycota; Agaricomycotina; Agaricomycetes; Agaricomycetes incertae sedis; Polyporales; Gelatoporiaceae; Gelatoporia</t>
  </si>
  <si>
    <t>cellular organisms; Eukaryota; Opisthokonta; Fungi; Dikarya; Ascomycota; saccharomyceta; Pezizomycotina; leotiomyceta; sordariomyceta; Sordariomycetes; Sordariomycetidae; Sordariales; Chaetomiaceae; Chaetomium</t>
  </si>
  <si>
    <t>cellular organisms; Eukaryota; Opisthokonta; Fungi; Dikarya; Basidiomycota; Agaricomycotina; Agaricomycetes; Agaricomycetidae; Agaricales; Marasmiineae; Cyphellaceae; Chondrostereum</t>
  </si>
  <si>
    <t>cellular organisms; Eukaryota; Opisthokonta; Fungi; Dikarya; Ascomycota; saccharomyceta; Pezizomycotina; leotiomyceta; dothideomyceta; Dothideomycetes; Dothideomycetidae; Cladosporiales; Cladosporiaceae; Cladosporium</t>
  </si>
  <si>
    <t>cellular organisms; Eukaryota; Opisthokonta; Fungi; Dikarya; Ascomycota; saccharomyceta; Pezizomycotina; leotiomyceta; Eurotiomycetes; Eurotiomycetidae; Onygenales; Onygenaceae; Coccidioides</t>
  </si>
  <si>
    <t>cellular organisms; Eukaryota; Opisthokonta; Fungi; Dikarya; Ascomycota; saccharomyceta; Pezizomycotina; leotiomyceta; sordariomyceta; Sordariomycetes; Hypocreomycetidae; Glomerellales; Glomerellaceae; Colletotrichum; Colletotrichum dematium species complex</t>
  </si>
  <si>
    <t>cellular organisms; Eukaryota; Opisthokonta; Fungi; Dikarya; Basidiomycota; Agaricomycotina; Agaricomycetes; Agaricomycetidae; Boletales; Coniophorineae; Coniophoraceae; Coniophora</t>
  </si>
  <si>
    <t>cellular organisms; Eukaryota; Opisthokonta; Fungi; Dikarya; Ascomycota; saccharomyceta; Pezizomycotina; leotiomyceta; dothideomyceta; Dothideomycetes; Dothideomycetes incertae sedis; Coniosporium</t>
  </si>
  <si>
    <t>cellular organisms; Eukaryota; Opisthokonta; Fungi; Dikarya; Ascomycota; saccharomyceta; Pezizomycotina; leotiomyceta; dothideomyceta; Dothideomycetes; Pleosporomycetidae; Pleosporales; Massarineae; Didymosphaeriaceae; Paraconiothyrium</t>
  </si>
  <si>
    <t>cellular organisms; Eukaryota; Opisthokonta; Fungi; Dikarya; Basidiomycota; Agaricomycotina; Agaricomycetes; Agaricomycetidae; Agaricales; Agaricineae; Agaricaceae; Coprinus</t>
  </si>
  <si>
    <t>cellular organisms; Eukaryota; Opisthokonta; Fungi; Dikarya; Ascomycota; saccharomyceta; Pezizomycotina; leotiomyceta; sordariomyceta; Sordariomycetes; Sordariomycetidae; Sordariales; Chaetomiaceae; Corynascus</t>
  </si>
  <si>
    <t>cellular organisms; Eukaryota; Opisthokonta; Fungi; Dikarya; Ascomycota; saccharomyceta; Pezizomycotina; leotiomyceta; dothideomyceta; Dothideomycetes; Pleosporomycetidae; Pleosporales; Corynesporascaceae; Corynespora</t>
  </si>
  <si>
    <t>cellular organisms; Eukaryota; Opisthokonta; Fungi; Dikarya; Basidiomycota; Pucciniomycotina; Pucciniomycetes; Pucciniales; Coleosporiaceae; Cronartium</t>
  </si>
  <si>
    <t>cellular organisms; Eukaryota; Opisthokonta; Fungi; Dikarya; Ascomycota; saccharomyceta; Pezizomycotina; leotiomyceta; sordariomyceta; Sordariomycetes; Sordariomycetidae; Diaporthales; Cryphonectriaceae; Cryphonectria-Endothia species complex; Cryphonectria</t>
  </si>
  <si>
    <t>cellular organisms; Eukaryota; Opisthokonta; Fungi; Dikarya; Basidiomycota; Agaricomycotina; Tremellomycetes; Tremellales; Cryptococcaceae; Cryptococcus; Cryptococcus neoformans species complex</t>
  </si>
  <si>
    <t>cellular organisms; Eukaryota; Opisthokonta; Fungi; Dikarya; Ascomycota; saccharomyceta; Saccharomycotina; Saccharomycetes; Phaffomycetales; Phaffomycetaceae; Cyberlindnera</t>
  </si>
  <si>
    <t>cellular organisms; Eukaryota; Opisthokonta; Fungi; Dikarya; Ascomycota; saccharomyceta; Saccharomycotina; Saccharomycetes; Saccharomycetales; Saccharomycetaceae; Cyniclomyces</t>
  </si>
  <si>
    <t>cellular organisms; Eukaryota; Opisthokonta; Fungi; Dikarya; Basidiomycota; Pucciniomycotina; Cystobasidiomycetes; Cystobasidiales; Cystobasidiaceae; Cystobasidium</t>
  </si>
  <si>
    <t>cellular organisms; Eukaryota; Opisthokonta; Fungi; Dikarya; Ascomycota; saccharomyceta; Pezizomycotina; leotiomyceta; sordariomyceta; Sordariomycetes; Sordariomycetidae; Diaporthales; Valsaceae; Cytospora</t>
  </si>
  <si>
    <t>cellular organisms; Eukaryota; Opisthokonta; Fungi; Dikarya; Ascomycota; saccharomyceta; Pezizomycotina; leotiomyceta; sordariomyceta; Sordariomycetes; Xylariomycetidae; Xylariales; Hypoxylaceae; Daldinia</t>
  </si>
  <si>
    <t>cellular organisms; Eukaryota; Opisthokonta; Fungi; Dikarya; Ascomycota; saccharomyceta; Saccharomycotina; Pichiomycetes; Serinales; Debaryomycetaceae; Debaryomyces</t>
  </si>
  <si>
    <t>cellular organisms; Eukaryota; Opisthokonta; Fungi; Dikarya; Ascomycota; saccharomyceta; Saccharomycotina; Pichiomycetes; Pichiales; Pichiaceae; Brettanomyces</t>
  </si>
  <si>
    <t>cellular organisms; Eukaryota; Opisthokonta; Fungi; Dikarya; Basidiomycota; Agaricomycotina; Agaricomycetes; Agaricomycetes incertae sedis; Polyporales; Polyporaceae; Dichomitus</t>
  </si>
  <si>
    <t>cellular organisms; Eukaryota; Opisthokonta; Fungi; Dikarya; Ascomycota; saccharomyceta; Saccharomycotina; Dipodascomycetes; Dipodascales; Dipodascaceae; Geotrichum</t>
  </si>
  <si>
    <t>cellular organisms; Eukaryota; Opisthokonta; Fungi; Dikarya; Ascomycota; saccharomyceta; Pezizomycotina; leotiomyceta; dothideomyceta; Dothideomycetes; Dothideomycetes incertae sedis; Botryosphaeriales; Botryosphaeriaceae; Dothiorella</t>
  </si>
  <si>
    <t>cellular organisms; Eukaryota; Opisthokonta; Fungi; Dikarya; Ascomycota; saccharomyceta; Pezizomycotina; leotiomyceta; dothideomyceta; Dothideomycetes; Dothideomycetidae; Mycosphaerellales; Mycosphaerellaceae; Dothistroma</t>
  </si>
  <si>
    <t>cellular organisms; Eukaryota; Opisthokonta; Fungi; Dikarya; Ascomycota; saccharomyceta; Pezizomycotina; leotiomyceta; sordariomyceta; Leotiomycetes; Helotiales; Drepanopezizaceae; Drepanopeziza</t>
  </si>
  <si>
    <t>cellular organisms; Eukaryota; Opisthokonta; Fungi; Dikarya; Basidiomycota; Agaricomycotina; Agaricomycetes; Agaricomycetes incertae sedis; Polyporales; Polyporaceae; Earliella</t>
  </si>
  <si>
    <t>cellular organisms; Eukaryota; Opisthokonta; Fungi; Dikarya; Ascomycota; saccharomyceta; Pezizomycotina; leotiomyceta; sordariomyceta; Sordariomycetes; Hypocreomycetidae; Hypocreales; Clavicipitaceae; Epichloe</t>
  </si>
  <si>
    <t>cellular organisms; Eukaryota; Opisthokonta; Fungi; Dikarya; Ascomycota; saccharomyceta; Pezizomycotina; leotiomyceta; dothideomyceta; Dothideomycetes; Pleosporomycetidae; Pleosporales; Pleosporineae; Didymellaceae; Epicoccum</t>
  </si>
  <si>
    <t>cellular organisms; Eukaryota; Opisthokonta; Fungi; Dikarya; Ascomycota; saccharomyceta; Saccharomycotina; Saccharomycetes; Saccharomycetales; Saccharomycetaceae; Eremothecium</t>
  </si>
  <si>
    <t>cellular organisms; Eukaryota; Opisthokonta; Fungi; Dikarya; Ascomycota; saccharomyceta; Pezizomycotina; leotiomyceta; sordariomyceta; Sordariomycetes; Xylariomycetidae; Xylariales; Diatrypaceae; Eutypa</t>
  </si>
  <si>
    <t>cellular organisms; Eukaryota; Opisthokonta; Fungi; Dikarya; Basidiomycota; Agaricomycotina; Agaricomycetes; Agaricomycetes incertae sedis; Auriculariales; Exidiaceae; Exidia</t>
  </si>
  <si>
    <t>cellular organisms; Eukaryota; Opisthokonta; Fungi; Dikarya; Ascomycota; saccharomyceta; Pezizomycotina; leotiomyceta; dothideomyceta; Dothideomycetes; Pleosporomycetidae; Pleosporales; Pleosporineae; Pleosporaceae; Exserohilum</t>
  </si>
  <si>
    <t>cellular organisms; Eukaryota; Opisthokonta; Fungi; Dikarya; Basidiomycota; Agaricomycotina; Agaricomycetes; Agaricomycetidae; Agaricales; Marasmiineae; Physalacriaceae; Flammulina</t>
  </si>
  <si>
    <t>cellular organisms; Eukaryota; Opisthokonta; Fungi; Dikarya; Basidiomycota; Agaricomycotina; Agaricomycetes; Agaricomycetes incertae sedis; Polyporales; Polyporaceae; Fomes</t>
  </si>
  <si>
    <t>cellular organisms; Eukaryota; Opisthokonta; Fungi; Dikarya; Basidiomycota; Agaricomycotina; Agaricomycetes; Agaricomycetes incertae sedis; Hymenochaetales; Hymenochaetaceae; Fomitiporia</t>
  </si>
  <si>
    <t>cellular organisms; Eukaryota; Opisthokonta; Fungi; Dikarya; Ascomycota; saccharomyceta; Pezizomycotina; leotiomyceta; dothideomyceta; Dothideomycetes; Dothideomycetidae; Mycosphaerellales; Mycosphaerellaceae; Fulvia</t>
  </si>
  <si>
    <t>cellular organisms; Eukaryota; Opisthokonta; Fungi; Dikarya; Ascomycota; saccharomyceta; Pezizomycotina; leotiomyceta; sordariomyceta; Sordariomycetes; Hypocreomycetidae; Hypocreales; Nectriaceae; Fusarium; Fusarium tricinctum species complex</t>
  </si>
  <si>
    <t>cellular organisms; Eukaryota; Opisthokonta; Fungi; Dikarya; Ascomycota; saccharomyceta; Pezizomycotina; leotiomyceta; sordariomyceta; Sordariomycetes; Hypocreomycetidae; Hypocreales; Nectriaceae; Fusarium; Fusarium chlamydosporum species complex</t>
  </si>
  <si>
    <t>cellular organisms; Eukaryota; Opisthokonta; Fungi; Dikarya; Ascomycota; saccharomyceta; Pezizomycotina; leotiomyceta; sordariomyceta; Sordariomycetes; Hypocreomycetidae; Hypocreales; Nectriaceae; Fusarium; Fusarium oxysporum species complex</t>
  </si>
  <si>
    <t>cellular organisms; Eukaryota; Opisthokonta; Fungi; Dikarya; Ascomycota; saccharomyceta; Pezizomycotina; leotiomyceta; sordariomyceta; Sordariomycetes; Hypocreomycetidae; Hypocreales; Nectriaceae; Fusarium; Fusarium redolens species complex</t>
  </si>
  <si>
    <t>cellular organisms; Eukaryota; Opisthokonta; Fungi; Dikarya; Ascomycota; saccharomyceta; Pezizomycotina; leotiomyceta; sordariomyceta; Sordariomycetes; Sordariomycetidae; Magnaporthales; Magnaporthaceae; Gaeumannomyces</t>
  </si>
  <si>
    <t>cellular organisms; Eukaryota; Opisthokonta; Fungi; Dikarya; Basidiomycota; Agaricomycotina; Agaricomycetes; Agaricomycetes incertae sedis; Polyporales; Polyporaceae; Ganoderma</t>
  </si>
  <si>
    <t>cellular organisms; Eukaryota; Opisthokonta; Fungi; Dikarya; Basidiomycota; Pucciniomycotina; Microbotryomycetes; Kriegeriales; Camptobasidiaceae; Glaciozyma</t>
  </si>
  <si>
    <t>cellular organisms; Eukaryota; Sar; Stramenopiles; Oomycota; Pythiales; Pythiaceae; Globisporangium</t>
  </si>
  <si>
    <t>cellular organisms; Eukaryota; Opisthokonta; Fungi; Dikarya; Basidiomycota; Agaricomycotina; Agaricomycetes; Agaricomycetes incertae sedis; Gloeophyllales; Gloeophyllaceae; Gloeophyllum</t>
  </si>
  <si>
    <t>cellular organisms; Eukaryota; Opisthokonta; Fungi; Dikarya; Ascomycota; saccharomyceta; Pezizomycotina; Pezizomycotina incertae sedis; Gloeosporium</t>
  </si>
  <si>
    <t>cellular organisms; Eukaryota; Opisthokonta; Fungi; Dikarya; Basidiomycota; Agaricomycotina; Agaricomycetes; Agaricomycetidae; Agaricales; Marasmiineae; Cyphellaceae; Gloeostereum</t>
  </si>
  <si>
    <t>cellular organisms; Eukaryota; Opisthokonta; Fungi; Dikarya; Basidiomycota; Agaricomycotina; Tremellomycetes; Filobasidiales; Filobasidiaceae; Goffeauzyma</t>
  </si>
  <si>
    <t>cellular organisms; Eukaryota; Opisthokonta; Fungi; Dikarya; Ascomycota; saccharomyceta; Pezizomycotina; leotiomyceta; sordariomyceta; Sordariomycetes; Sordariomycetidae; Ophiostomatales; Ophiostomataceae; Leptographium</t>
  </si>
  <si>
    <t>cellular organisms; Eukaryota; Opisthokonta; Fungi; Dikarya; Ascomycota; saccharomyceta; Saccharomycotina; Saccharomycetes; Saccharomycodales; Saccharomycodaceae; Hanseniaspora</t>
  </si>
  <si>
    <t>cellular organisms; Eukaryota; Opisthokonta; Fungi; Dikarya; Ascomycota; Taphrinomycotina; Schizosaccharomycetes; Schizosaccharomycetales; Schizosaccharomycetaceae; Schizosaccharomyces</t>
  </si>
  <si>
    <t>cellular organisms; Eukaryota; Opisthokonta; Fungi; Dikarya; Ascomycota; saccharomyceta; Pezizomycotina; leotiomyceta; dothideomyceta; Dothideomycetes; Pleosporomycetidae; Pleosporales; Massarineae; Massarinaceae; Helminthosporium</t>
  </si>
  <si>
    <t>cellular organisms; Eukaryota; Opisthokonta; Fungi; Dikarya; Basidiomycota; Pucciniomycotina; Pucciniomycetes; Pucciniales; Zaghouaniaceae; Hemileia</t>
  </si>
  <si>
    <t>cellular organisms; Eukaryota; Opisthokonta; Fungi; Dikarya; Basidiomycota; Agaricomycotina; Agaricomycetes; Agaricomycetes incertae sedis; Russulales; Bondarzewiaceae; Heterobasidion; Heterobasidion annosum species complex</t>
  </si>
  <si>
    <t>cellular organisms; Eukaryota; Opisthokonta; Fungi; Dikarya; Ascomycota; saccharomyceta; Pezizomycotina; leotiomyceta; sordariomyceta; Sordariomycetes; Hypocreomycetidae; Hypocreales; Ophiocordycipitaceae; Hirsutella</t>
  </si>
  <si>
    <t>cellular organisms; Eukaryota; Opisthokonta; Fungi; Dikarya; Ascomycota; saccharomyceta; Pezizomycotina; leotiomyceta; Eurotiomycetes; Eurotiomycetidae; Onygenales; Ajellomycetaceae; Histoplasma</t>
  </si>
  <si>
    <t>cellular organisms; Eukaryota; Opisthokonta; Fungi; Dikarya; Ascomycota; saccharomyceta; Pezizomycotina; leotiomyceta; dothideomyceta; Dothideomycetes; Dothideomycetidae; Mycosphaerellales; Teratosphaeriaceae; Hortaea</t>
  </si>
  <si>
    <t>cellular organisms; Eukaryota; Opisthokonta; Fungi; Dikarya; Ascomycota; saccharomyceta; Pezizomycotina; leotiomyceta; sordariomyceta; Sordariomycetes; Sordariomycetidae; Sordariales; Chaetomiaceae; Humicola</t>
  </si>
  <si>
    <t>cellular organisms; Eukaryota; Opisthokonta; Fungi; Dikarya; Basidiomycota; Agaricomycotina; Agaricomycetes; Agaricomycetidae; Agaricales; Hygrophorineae; Hygrophoraceae; Hygrophorus</t>
  </si>
  <si>
    <t>cellular organisms; Eukaryota; Opisthokonta; Fungi; Dikarya; Basidiomycota; Agaricomycotina; Agaricomycetes; Agaricomycetidae; Agaricales; Marasmiineae; Physalacriaceae; Hymenopellis</t>
  </si>
  <si>
    <t>cellular organisms; Eukaryota; Opisthokonta; Fungi; Dikarya; Ascomycota; saccharomyceta; Pezizomycotina; leotiomyceta; sordariomyceta; Leotiomycetes; Helotiales; Helotiaceae; Hymenoscyphus</t>
  </si>
  <si>
    <t>cellular organisms; Eukaryota; Opisthokonta; Fungi; Dikarya; Basidiomycota; Agaricomycotina; Agaricomycetes; Agaricomycetidae; Agaricales; Agaricineae; Strophariaceae; Hypholoma</t>
  </si>
  <si>
    <t>cellular organisms; Eukaryota; Opisthokonta; Fungi; Dikarya; Ascomycota; saccharomyceta; Saccharomycotina; Pichiomycetes; Serinales; Debaryomycetaceae; Hyphopichia</t>
  </si>
  <si>
    <t>cellular organisms; Eukaryota; Opisthokonta; Fungi; Dikarya; Ascomycota; saccharomyceta; Pezizomycotina; leotiomyceta; sordariomyceta; Sordariomycetes; Hypocreomycetidae; Hypocreales; Nectriaceae; Ilyonectria</t>
  </si>
  <si>
    <t>cellular organisms; Eukaryota; Opisthokonta; Fungi; Dikarya; Ascomycota; saccharomyceta; Pezizomycotina; leotiomyceta; Eurotiomycetes; Chaetothyriomycetidae; Chaetothyriales; Trichomeriaceae; Incumbomyces</t>
  </si>
  <si>
    <t>cellular organisms; Eukaryota; Opisthokonta; Fungi; Dikarya; Ascomycota; saccharomyceta; Saccharomycotina; Pichiomycetes; Pichiales; Pichiaceae; Pichia</t>
  </si>
  <si>
    <t>cellular organisms; Eukaryota; Opisthokonta; Fungi; Dikarya; Ascomycota; saccharomyceta; Saccharomycotina; Saccharomycetes; Saccharomycetales; Saccharomycetaceae; Arxiozyma</t>
  </si>
  <si>
    <t>cellular organisms; Eukaryota; Opisthokonta; Fungi; Dikarya; Ascomycota; saccharomyceta; Saccharomycotina; Saccharomycetes; Saccharomycetales; Saccharomycetaceae; Kluyveromyces</t>
  </si>
  <si>
    <t>cellular organisms; Eukaryota; Opisthokonta; Fungi; Dikarya; Ascomycota; saccharomyceta; Saccharomycotina; Pichiomycetes; Serinales; Debaryomycetaceae; Kodamaea</t>
  </si>
  <si>
    <t>cellular organisms; Eukaryota; Opisthokonta; Fungi; Dikarya; Ascomycota; saccharomyceta; Saccharomycotina; Pichiomycetes; Pichiales; Pichiaceae; Komagataella</t>
  </si>
  <si>
    <t>cellular organisms; Eukaryota; Opisthokonta; Fungi; Dikarya; Ascomycota; saccharomyceta; Saccharomycotina; Pichiomycetes; Pichiales; Pichiaceae; Kuraishia</t>
  </si>
  <si>
    <t>cellular organisms; Eukaryota; Opisthokonta; Fungi; Dikarya; Ascomycota; saccharomyceta; Saccharomycotina; Pichiomycetes; Serinales; Debaryomycetaceae; Kurtzmaniella</t>
  </si>
  <si>
    <t>cellular organisms; Eukaryota; Opisthokonta; Fungi; Dikarya; Basidiomycota; Agaricomycotina; Agaricomycetes; Agaricomycetes incertae sedis; Russulales; Russulaceae; Lactarius</t>
  </si>
  <si>
    <t>cellular organisms; Eukaryota; Opisthokonta; Fungi; Dikarya; Basidiomycota; Agaricomycotina; Agaricomycetes; Agaricomycetes incertae sedis; Russulales; Russulaceae; Lactifluus</t>
  </si>
  <si>
    <t>cellular organisms; Eukaryota; Opisthokonta; Fungi; Dikarya; Basidiomycota; Agaricomycotina; Agaricomycetes; Agaricomycetes incertae sedis; Polyporales; Laetiporaceae; Laetiporus</t>
  </si>
  <si>
    <t>cellular organisms; Eukaryota; Opisthokonta; Fungi; Dikarya; Ascomycota; saccharomyceta; Pezizomycotina; leotiomyceta; dothideomyceta; Dothideomycetes; Dothideomycetes incertae sedis; Botryosphaeriales; Botryosphaeriaceae; Lasiodiplodia</t>
  </si>
  <si>
    <t>cellular organisms; Eukaryota; Opisthokonta; Fungi; Dikarya; Basidiomycota; Agaricomycotina; Agaricomycetes; Agaricomycetes incertae sedis; Polyporales; Polyporaceae; Lentinus</t>
  </si>
  <si>
    <t>cellular organisms; Eukaryota; Opisthokonta; Fungi; Dikarya; Basidiomycota; Agaricomycotina; Agaricomycetes; Agaricomycetes incertae sedis; Polyporales; Polyporaceae; Lenzites</t>
  </si>
  <si>
    <t>cellular organisms; Eukaryota; Opisthokonta; Fungi; Dikarya; Ascomycota; saccharomyceta; Pezizomycotina; leotiomyceta; dothideomyceta; Dothideomycetes; Pleosporomycetidae; Pleosporales; Pleosporineae; Phaeosphaeriaceae; Parastagonospora</t>
  </si>
  <si>
    <t>cellular organisms; Eukaryota; Opisthokonta; Fungi; Dikarya; Ascomycota; saccharomyceta; Pezizomycotina; leotiomyceta; dothideomyceta; Dothideomycetes; Pleosporomycetidae; Pleosporales; Pleosporineae; Leptosphaeriaceae; Plenodomus; Plenodomus lingam/Leptosphaeria maculans species complex</t>
  </si>
  <si>
    <t>cellular organisms; Eukaryota; Opisthokonta; Fungi; Dikarya; Basidiomycota; Agaricomycotina; Agaricomycetes; Agaricomycetidae; Agaricales; Agaricineae; Agaricaceae; Leucoagaricus</t>
  </si>
  <si>
    <t>cellular organisms; Eukaryota; Opisthokonta; Fungi; Fungi incertae sedis; Mucoromycota; Mucoromycotina; Mucoromycetes; Mucorales; Lichtheimiaceae; Lichtheimia</t>
  </si>
  <si>
    <t>cellular organisms; Eukaryota; Opisthokonta; Fungi; Dikarya; Ascomycota; saccharomyceta; Saccharomycotina; Lipomycetes; Lipomycetales; Lipomycetaceae; Lipomyces</t>
  </si>
  <si>
    <t>cellular organisms; Eukaryota; Opisthokonta; Fungi; Dikarya; Basidiomycota; Agaricomycotina; Agaricomycetes; Agaricomycetidae; Agaricales; Agaricineae; Agaricaceae; Macrolepiota</t>
  </si>
  <si>
    <t>cellular organisms; Eukaryota; Opisthokonta; Fungi; Dikarya; Ascomycota; saccharomyceta; Pezizomycotina; leotiomyceta; dothideomyceta; Dothideomycetes; Dothideomycetes incertae sedis; Botryosphaeriales; Botryosphaeriaceae; Macrophomina</t>
  </si>
  <si>
    <t>cellular organisms; Eukaryota; Opisthokonta; Fungi; Dikarya; Ascomycota; saccharomyceta; Pezizomycotina; leotiomyceta; Eurotiomycetes; Eurotiomycetidae; Onygenales; Malbrancheaceae; Malbranchea</t>
  </si>
  <si>
    <t>cellular organisms; Eukaryota; Opisthokonta; Fungi; Dikarya; Basidiomycota; Pucciniomycotina; Pucciniomycetes; Pucciniales; Melampsoraceae; Melampsora</t>
  </si>
  <si>
    <t>cellular organisms; Eukaryota; Opisthokonta; Fungi; Dikarya; Ascomycota; saccharomyceta; Pezizomycotina; leotiomyceta; sordariomyceta; Sordariomycetes; Hypocreomycetidae; Hypocreales; Clavicipitaceae; Pochonia</t>
  </si>
  <si>
    <t>cellular organisms; Eukaryota; Opisthokonta; Fungi; Dikarya; Ascomycota; saccharomyceta; Pezizomycotina; leotiomyceta; sordariomyceta; Sordariomycetes; Hypocreomycetidae; Hypocreales; Clavicipitaceae; Metarhizium</t>
  </si>
  <si>
    <t>cellular organisms; Eukaryota; Opisthokonta; Fungi; Dikarya; Ascomycota; saccharomyceta; Saccharomycotina; Pichiomycetes; Serinales; Metschnikowiaceae; Metschnikowia</t>
  </si>
  <si>
    <t>cellular organisms; Eukaryota; Opisthokonta; Fungi; Dikarya; Ascomycota; saccharomyceta; Saccharomycotina; Pichiomycetes; Serinales; Debaryomycetaceae; Meyerozyma</t>
  </si>
  <si>
    <t>cellular organisms; Eukaryota; Opisthokonta; Fungi; Dikarya; Ascomycota; saccharomyceta; Pezizomycotina; leotiomyceta; Eurotiomycetes; Eurotiomycetidae; Onygenales; Arthrodermataceae; Microsporum</t>
  </si>
  <si>
    <t>cellular organisms; Eukaryota; Opisthokonta; Fungi; Dikarya; Ascomycota; saccharomyceta; Saccharomycotina; Pichiomycetes; Serinales; Debaryomycetaceae; Millerozyma</t>
  </si>
  <si>
    <t>cellular organisms; Eukaryota; Opisthokonta; Fungi; Dikarya; Ascomycota; saccharomyceta; Pezizomycotina; leotiomyceta; sordariomyceta; Sordariomycetes; Hypocreomycetidae; Hypocreales; Clavicipitaceae; Moelleriella</t>
  </si>
  <si>
    <t>cellular organisms; Eukaryota; Opisthokonta; Fungi; Dikarya; Ascomycota; saccharomyceta; Pezizomycotina; leotiomyceta; Eurotiomycetes; Eurotiomycetidae; Eurotiales; Aspergillaceae; Monascus</t>
  </si>
  <si>
    <t>cellular organisms; Eukaryota; Opisthokonta; Fungi; Dikarya; Basidiomycota; Agaricomycotina; Agaricomycetes; Agaricomycetidae; Agaricales; Marasmiineae; Marasmiaceae; Moniliophthora</t>
  </si>
  <si>
    <t>cellular organisms; Eukaryota; Opisthokonta; Fungi; Dikarya; Ascomycota; saccharomyceta; Pezizomycotina; Pezizomycetes; Pezizales; Morchellaceae; Morchella; Morchella sect. Morchella</t>
  </si>
  <si>
    <t>cellular organisms; Eukaryota; Opisthokonta; Fungi; Dikarya; Ascomycota; saccharomyceta; Pezizomycotina; Pezizomycetes; Pezizales; Morchellaceae; Morchella; Morchella sect. Distantes</t>
  </si>
  <si>
    <t>cellular organisms; Eukaryota; Opisthokonta; Fungi; Dikarya; Basidiomycota; Agaricomycotina; Tremellomycetes; Cystofilobasidiales; Mrakiaceae; Mrakia</t>
  </si>
  <si>
    <t>cellular organisms; Eukaryota; Opisthokonta; Fungi; Dikarya; Basidiomycota; Agaricomycotina; Agaricomycetes; Agaricomycetidae; Agaricales; Marasmiineae; Physalacriaceae; Mucidula</t>
  </si>
  <si>
    <t>cellular organisms; Eukaryota; Opisthokonta; Fungi; Dikarya; Ascomycota; saccharomyceta; Pezizomycotina; leotiomyceta; sordariomyceta; Sordariomycetes; Hypocreomycetidae; Hypocreales; Hypocreaceae; Mycogone</t>
  </si>
  <si>
    <t>cellular organisms; Eukaryota; Opisthokonta; Fungi; Dikarya; Basidiomycota; Ustilaginomycotina; Ustilaginomycetes; Ustilaginales; Ustilaginaceae; Mycosarcoma</t>
  </si>
  <si>
    <t>cellular organisms; Eukaryota; Opisthokonta; Fungi; Dikarya; Ascomycota; saccharomyceta; Pezizomycotina; leotiomyceta; sordariomyceta; Sordariomycetes; Sordariomycetidae; Sordariales; Chaetomiaceae; Mycothermus</t>
  </si>
  <si>
    <t>cellular organisms; Eukaryota; Opisthokonta; Fungi; Dikarya; Ascomycota; saccharomyceta; Pezizomycotina; leotiomyceta; dothideomyceta; Dothideomycetes; Dothideomycetidae; Myriangiales; Myriangiaceae; Myriangium</t>
  </si>
  <si>
    <t>cellular organisms; Eukaryota; Opisthokonta; Fungi; Dikarya; Ascomycota; saccharomyceta; Saccharomycotina; Dipodascomycetes; Dipodascales; Dipodascales incertae sedis; Nadsonia</t>
  </si>
  <si>
    <t>cellular organisms; Eukaryota; Opisthokonta; Fungi; Dikarya; Ascomycota; saccharomyceta; Saccharomycotina; Saccharomycetes; Saccharomycetales; Saccharomycetaceae; Nakaseomyces</t>
  </si>
  <si>
    <t>cellular organisms; Eukaryota; Opisthokonta; Fungi; Dikarya; Ascomycota; saccharomyceta; Pezizomycotina; leotiomyceta; sordariomyceta; Sordariomycetes; Sordariomycetidae; Magnaporthales; Magnaporthaceae; Nakataea</t>
  </si>
  <si>
    <t>cellular organisms; Eukaryota; Opisthokonta; Fungi; Dikarya; Ascomycota; saccharomyceta; Pezizomycotina; leotiomyceta; dothideomyceta; Dothideomycetes; Dothideomycetes incertae sedis; Botryosphaeriales; Botryosphaeriaceae; Neofusicoccum</t>
  </si>
  <si>
    <t>cellular organisms; Eukaryota; Opisthokonta; Fungi; Dikarya; Basidiomycota; Agaricomycotina; Agaricomycetes; Agaricomycetes incertae sedis; Gloeophyllales; Gloeophyllaceae; Neolentinus</t>
  </si>
  <si>
    <t>cellular organisms; Eukaryota; Opisthokonta; Fungi; Dikarya; Ascomycota; saccharomyceta; Pezizomycotina; leotiomyceta; sordariomyceta; Sordariomycetes; Sordariomycetidae; Sordariales; Sordariaceae; Neurospora</t>
  </si>
  <si>
    <t>cellular organisms; Eukaryota; Opisthokonta; Fungi; Dikarya; Ascomycota; saccharomyceta; Pezizomycotina; leotiomyceta; dothideomyceta; Dothideomycetes; Pleosporomycetidae; Pleosporales; Nigrogranaceae; Nigrograna</t>
  </si>
  <si>
    <t>cellular organisms; Eukaryota; Opisthokonta; Fungi; Dikarya; Ascomycota; saccharomyceta; Pezizomycotina; leotiomyceta; sordariomyceta; Sordariomycetes; Xylariomycetidae; Xylariales; Apiosporaceae; Nigrospora</t>
  </si>
  <si>
    <t>cellular organisms; Eukaryota; Opisthokonta; Fungi; Dikarya; Ascomycota; saccharomyceta; Pezizomycotina; leotiomyceta; sordariomyceta; Leotiomycetes; Helotiales; Ploettnerulaceae; Oculimacula</t>
  </si>
  <si>
    <t>cellular organisms; Eukaryota; Opisthokonta; Fungi; Dikarya; Ascomycota; saccharomyceta; Saccharomycotina; Pichiomycetes; Pichiales; Pichiaceae; Ogataea</t>
  </si>
  <si>
    <t>cellular organisms; Eukaryota; Opisthokonta; Fungi; Dikarya; Ascomycota; saccharomyceta; Pezizomycotina; leotiomyceta; sordariomyceta; Leotiomycetes; Leotiomycetes incertae sedis; Myxotrichaceae; Oidiodendron</t>
  </si>
  <si>
    <t>cellular organisms; Eukaryota; Opisthokonta; Fungi; Dikarya; Ascomycota; saccharomyceta; Pezizomycotina; leotiomyceta; sordariomyceta; Sordariomycetes; Sordariomycetidae; Diaporthales; Gnomoniaceae; Ophiognomonia</t>
  </si>
  <si>
    <t>cellular organisms; Eukaryota; Opisthokonta; Fungi; Dikarya; Ascomycota; saccharomyceta; Pezizomycotina; leotiomyceta; dothideomyceta; Dothideomycetes; Pleosporomycetidae; Pleosporales; Pleosporineae; Phaeosphaeriaceae; Ophiosphaerella</t>
  </si>
  <si>
    <t>cellular organisms; Eukaryota; Opisthokonta; Fungi; Dikarya; Ascomycota; saccharomyceta; Saccharomycotina; Pichiomycetes; Alaninales; Pachysolenaceae; Pachysolen</t>
  </si>
  <si>
    <t>cellular organisms; Eukaryota; Opisthokonta; Fungi; Dikarya; Ascomycota; saccharomyceta; Pezizomycotina; leotiomyceta; Eurotiomycetes; Eurotiomycetidae; Eurotiales; Thermoascaceae; Paecilomyces</t>
  </si>
  <si>
    <t>cellular organisms; Eukaryota; Opisthokonta; Fungi; Dikarya; Basidiomycota; Agaricomycotina; Tremellomycetes; Tremellales; Rhynchogastremaceae; Papiliotrema</t>
  </si>
  <si>
    <t>cellular organisms; Eukaryota; Opisthokonta; Fungi; Dikarya; Basidiomycota; Agaricomycotina; Agaricomycetes; Agaricomycetidae; Boletales; Paxilineae; Paxillaceae; Paxillus</t>
  </si>
  <si>
    <t>cellular organisms; Eukaryota; Opisthokonta; Fungi; Dikarya; Ascomycota; saccharomyceta; Pezizomycotina; leotiomyceta; Eurotiomycetes; Eurotiomycetidae; Eurotiales; Aspergillaceae; Penicillium; Penicillium chrysogenum species complex</t>
  </si>
  <si>
    <t>cellular organisms; Eukaryota; Sar; Stramenopiles; Oomycota; Peronosporales; Peronosporaceae; Peronosclerospora</t>
  </si>
  <si>
    <t>cellular organisms; Eukaryota; Sar; Stramenopiles; Oomycota; Peronosporales; Peronosporaceae; Peronospora</t>
  </si>
  <si>
    <t>cellular organisms; Eukaryota; Opisthokonta; Fungi; Dikarya; Ascomycota; saccharomyceta; Pezizomycotina; leotiomyceta; sordariomyceta; Sordariomycetes; Xylariomycetidae; Xylariales; Sporocadaceae; Pestalotiopsis</t>
  </si>
  <si>
    <t>cellular organisms; Eukaryota; Opisthokonta; Fungi; Dikarya; Ascomycota; saccharomyceta; Pezizomycotina; leotiomyceta; sordariomyceta; Sordariomycetes; Sordariomycetidae; Togniniales; Togniniaceae; Phaeoacremonium</t>
  </si>
  <si>
    <t>cellular organisms; Eukaryota; Opisthokonta; Fungi; Dikarya; Ascomycota; saccharomyceta; Pezizomycotina; leotiomyceta; Eurotiomycetes; Chaetothyriomycetidae; Phaeomoniellales; Phaeomoniellaceae; Phaeomoniella</t>
  </si>
  <si>
    <t>cellular organisms; Eukaryota; Opisthokonta; Fungi; Dikarya; Basidiomycota; Pucciniomycotina; Pucciniomycetes; Pucciniales; Phakopsoraceae; Phakopsora</t>
  </si>
  <si>
    <t>cellular organisms; Eukaryota; Opisthokonta; Fungi; Dikarya; Basidiomycota; Agaricomycotina; Agaricomycetes; Agaricomycetes incertae sedis; Polyporales; Phanerochaetaceae; Phanerodontia</t>
  </si>
  <si>
    <t>cellular organisms; Eukaryota; Opisthokonta; Fungi; Dikarya; Basidiomycota; Pucciniomycotina; Microbotryomycetes; Kriegeriales; Kriegeriaceae; Phenoliferia</t>
  </si>
  <si>
    <t>cellular organisms; Eukaryota; Opisthokonta; Fungi; Dikarya; Basidiomycota; Agaricomycotina; Agaricomycetes; Agaricomycetes incertae sedis; Polyporales; Meruliaceae; Phlebia</t>
  </si>
  <si>
    <t>cellular organisms; Eukaryota; Opisthokonta; Fungi; Dikarya; Basidiomycota; Agaricomycotina; Agaricomycetes; Agaricomycetes incertae sedis; Polyporales; Phanerochaetaceae; Phlebiopsis</t>
  </si>
  <si>
    <t>cellular organisms; Eukaryota; Opisthokonta; Fungi; Fungi incertae sedis; Mucoromycota; Mucoromycotina; Mucoromycetes; Mucorales; Phycomycetaceae; Phycomyces</t>
  </si>
  <si>
    <t>cellular organisms; Eukaryota; Opisthokonta; Fungi; Dikarya; Ascomycota; saccharomyceta; Pezizomycotina; leotiomyceta; dothideomyceta; Dothideomycetes; Dothideomycetes incertae sedis; Botryosphaeriales; Phyllostictaceae; Phyllosticta</t>
  </si>
  <si>
    <t>cellular organisms; Eukaryota; Sar; Stramenopiles; Oomycota; Peronosporales; Peronosporaceae; Phytophthora</t>
  </si>
  <si>
    <t>cellular organisms; Eukaryota; Sar; Stramenopiles; Oomycota; Pythiales; Pythiaceae; Phytopythium</t>
  </si>
  <si>
    <t>cellular organisms; Eukaryota; Opisthokonta; Fungi; Dikarya; Basidiomycota; Agaricomycotina; Agaricomycetes; Agaricomycetidae; Boletales; Sclerodermatineae; Pisolithaceae; Pisolithus</t>
  </si>
  <si>
    <t>cellular organisms; Eukaryota; Sar; Stramenopiles; Oomycota; Peronosporales; Peronosporaceae; Plasmopara</t>
  </si>
  <si>
    <t>cellular organisms; Eukaryota; Opisthokonta; Fungi; Dikarya; Ascomycota; saccharomyceta; Pezizomycotina; leotiomyceta; dothideomyceta; Dothideomycetes; Pleosporomycetidae; Pleosporales; Pleosporineae; Leptosphaeriaceae; Plenodomus</t>
  </si>
  <si>
    <t>cellular organisms; Eukaryota; Opisthokonta; Fungi; Dikarya; Basidiomycota; Agaricomycotina; Agaricomycetes; Agaricomycetidae; Agaricales; Pleurotineae; Pleurotaceae; Pleurotus</t>
  </si>
  <si>
    <t>cellular organisms; Eukaryota; Opisthokonta; Fungi; Dikarya; Ascomycota; saccharomyceta; Pezizomycotina; leotiomyceta; sordariomyceta; Leotiomycetes; Erysiphales; Erysiphaceae; Podosphaera</t>
  </si>
  <si>
    <t>cellular organisms; Eukaryota; Opisthokonta; Fungi; Dikarya; Basidiomycota; Agaricomycotina; Agaricomycetes; Agaricomycetes incertae sedis; Hymenochaetales; Hymenochaetaceae; Porodaedalea</t>
  </si>
  <si>
    <t>cellular organisms; Eukaryota; Opisthokonta; Fungi; Dikarya; Basidiomycota; Agaricomycotina; Agaricomycetes; Agaricomycetes incertae sedis; Polyporales; Phanerochaetaceae; Porostereum</t>
  </si>
  <si>
    <t>cellular organisms; Eukaryota; Opisthokonta; Fungi; Dikarya; Ascomycota; saccharomyceta; Pezizomycotina; leotiomyceta; sordariomyceta; Leotiomycetes; Thelebolales; Thelebolaceae; Pseudogymnoascus</t>
  </si>
  <si>
    <t>cellular organisms; Eukaryota; Sar; Stramenopiles; Oomycota; Peronosporales; Peronosporaceae; Pseudoperonospora</t>
  </si>
  <si>
    <t>cellular organisms; Eukaryota; Opisthokonta; Fungi; Dikarya; Ascomycota; saccharomyceta; Pezizomycotina; leotiomyceta; sordariomyceta; Sordariomycetes; Xylariomycetidae; Xylariales; Sporocadaceae; Pseudopestalotiopsis</t>
  </si>
  <si>
    <t>cellular organisms; Eukaryota; Opisthokonta; Fungi; Dikarya; Ascomycota; saccharomyceta; Pezizomycotina; leotiomyceta; dothideomyceta; Dothideomycetes; Pleosporomycetidae; Pleosporales; Pleosporineae; Pleosporaceae; Pyrenophora</t>
  </si>
  <si>
    <t>cellular organisms; Eukaryota; Opisthokonta; Fungi; Dikarya; Ascomycota; saccharomyceta; Pezizomycotina; leotiomyceta; sordariomyceta; Sordariomycetes; Sordariomycetidae; Magnaporthales; Pyriculariaceae; Pyricularia</t>
  </si>
  <si>
    <t>cellular organisms; Eukaryota; Sar; Stramenopiles; Oomycota; Pythiales; Pythiaceae; Pythium</t>
  </si>
  <si>
    <t>cellular organisms; Eukaryota; Opisthokonta; Fungi; Dikarya; Ascomycota; saccharomyceta; Pezizomycotina; leotiomyceta; Eurotiomycetes; Eurotiomycetidae; Eurotiales; Trichocomaceae; Rasamsonia</t>
  </si>
  <si>
    <t>cellular organisms; Eukaryota; Opisthokonta; Fungi; Dikarya; Ascomycota; saccharomyceta; Pezizomycotina; leotiomyceta; sordariomyceta; Sordariomycetes; Hypocreomycetidae; Hypocreales; Nectriaceae; Fusarium; Fusarium ventricosum species complex</t>
  </si>
  <si>
    <t>cellular organisms; Eukaryota; Opisthokonta; Fungi; Dikarya; Ascomycota; saccharomyceta; Pezizomycotina; leotiomyceta; dothideomyceta; Dothideomycetes; Dothideomycetidae; Mycosphaerellales; Teratosphaeriaceae; Recurvomyces</t>
  </si>
  <si>
    <t>cellular organisms; Eukaryota; Opisthokonta; Fungi; Dikarya; Ascomycota; saccharomyceta; Pezizomycotina; leotiomyceta; Eurotiomycetes; Chaetothyriomycetidae; Chaetothyriales; Herpotrichiellaceae; Rhinocladiella</t>
  </si>
  <si>
    <t>cellular organisms; Eukaryota; Opisthokonta; Fungi; Dikarya; Basidiomycota; Agaricomycotina; Agaricomycetes; Agaricomycetes incertae sedis; Cantharellales; Ceratobasidiaceae; Ceratorhiza</t>
  </si>
  <si>
    <t>cellular organisms; Eukaryota; Opisthokonta; Fungi; Dikarya; Basidiomycota; Agaricomycotina; Agaricomycetes; Agaricomycetes incertae sedis; Cantharellales; Ceratobasidiaceae; Rhizoctonia</t>
  </si>
  <si>
    <t>cellular organisms; Eukaryota; Opisthokonta; Fungi; Fungi incertae sedis; Mucoromycota; Mucoromycotina; Mucoromycetes; Mucorales; Lichtheimiaceae; Rhizomucor</t>
  </si>
  <si>
    <t>cellular organisms; Eukaryota; Opisthokonta; Fungi; Fungi incertae sedis; Chytridiomycota; Chytridiomycota incertae sedis; Chytridiomycetes; Rhizophlyctidales; Rhizophlyctidaceae; Rhizophlyctis</t>
  </si>
  <si>
    <t>cellular organisms; Eukaryota; Opisthokonta; Fungi; Dikarya; Basidiomycota; Agaricomycotina; Agaricomycetes; Agaricomycetes incertae sedis; Polyporales; Postiaceae; Postia</t>
  </si>
  <si>
    <t>cellular organisms; Eukaryota; Opisthokonta; Fungi; Dikarya; Ascomycota; saccharomyceta; Saccharomycotina; Saccharomycetes; Saccharomycetales; Saccharomycetaceae; Saccharomyces</t>
  </si>
  <si>
    <t>cellular organisms; Eukaryota; Opisthokonta; Fungi; Dikarya; Ascomycota; saccharomyceta; Saccharomycotina; Saccharomycetes; Ascoideales; Saccharomycopsidaceae; Saccharomycopsis</t>
  </si>
  <si>
    <t>cellular organisms; Eukaryota; Opisthokonta; Fungi; Dikarya; Basidiomycota; Agaricomycotina; Agaricomycetes; Agaricomycetes incertae sedis; Thelephorales; Thelephoraceae; Sarcodon</t>
  </si>
  <si>
    <t>cellular organisms; Eukaryota; Opisthokonta; Fungi; Dikarya; Ascomycota; saccharomyceta; Pezizomycotina; leotiomyceta; sordariomyceta; Sordariomycetes; Hypocreomycetidae; Hypocreales; Sarocladiaceae; Sarocladium</t>
  </si>
  <si>
    <t>cellular organisms; Eukaryota; Opisthokonta; Fungi; Dikarya; Ascomycota; saccharomyceta; Pezizomycotina; leotiomyceta; dothideomyceta; Dothideomycetes; Dothideomycetidae; Mycosphaerellales; Aeminiaceae; Saxispiralis</t>
  </si>
  <si>
    <t>cellular organisms; Eukaryota; Opisthokonta; Fungi; Dikarya; Ascomycota; saccharomyceta; Saccharomycotina; Pichiomycetes; Serinales; Debaryomycetaceae; Scheffersomyces</t>
  </si>
  <si>
    <t>cellular organisms; Eukaryota; Opisthokonta; Fungi; Dikarya; Basidiomycota; Agaricomycotina; Agaricomycetes; Agaricomycetidae; Agaricales; Schizophyllineae; Schizophyllaceae; Schizophyllum</t>
  </si>
  <si>
    <t>cellular organisms; Eukaryota; Sar; Stramenopiles; Oomycota; Peronosporales; Peronosporaceae; Sclerospora</t>
  </si>
  <si>
    <t>cellular organisms; Eukaryota; Opisthokonta; Fungi; Dikarya; Basidiomycota; Agaricomycotina; Agaricomycetes; Agaricomycetidae; Boletales; Coniophorineae; Serpulaceae; Serpula</t>
  </si>
  <si>
    <t>cellular organisms; Eukaryota; Opisthokonta; Fungi; Dikarya; Ascomycota; saccharomyceta; Pezizomycotina; leotiomyceta; sordariomyceta; Sordariomycetes; Hypocreomycetidae; Glomerellales; Plectosphaerellaceae; Sodiomyces</t>
  </si>
  <si>
    <t>cellular organisms; Eukaryota; Opisthokonta; Fungi; Dikarya; Ascomycota; saccharomyceta; Pezizomycotina; leotiomyceta; sordariomyceta; Sordariomycetes; Sordariomycetidae; Sordariales; Sordariaceae; Sordaria</t>
  </si>
  <si>
    <t>cellular organisms; Eukaryota; Opisthokonta; Fungi; Dikarya; Basidiomycota; Ustilaginomycotina; Ustilaginomycetes; Ustilaginales; Ustilaginaceae; Sporisorium</t>
  </si>
  <si>
    <t>cellular organisms; Eukaryota; Opisthokonta; Fungi; Dikarya; Basidiomycota; Pucciniomycotina; Microbotryomycetes; Sporidiobolales; Sporidiobolaceae; Sporobolomyces</t>
  </si>
  <si>
    <t>cellular organisms; Eukaryota; Opisthokonta; Fungi; Dikarya; Ascomycota; saccharomyceta; Pezizomycotina; leotiomyceta; sordariomyceta; Sordariomycetes; Sordariomycetidae; Ophiostomatales; Ophiostomataceae; Sporothrix</t>
  </si>
  <si>
    <t>cellular organisms; Eukaryota; Opisthokonta; Fungi; Dikarya; Ascomycota; saccharomyceta; Saccharomycotina; Dipodascomycetes; Dipodascales; Trichomonascaceae; Starmerella</t>
  </si>
  <si>
    <t>cellular organisms; Eukaryota; Opisthokonta; Fungi; Dikarya; Ascomycota; saccharomyceta; Pezizomycotina; leotiomyceta; sordariomyceta; Sordariomycetes; Sordariomycetidae; Diaporthales; Diaporthaceae; Stenocarpella</t>
  </si>
  <si>
    <t>cellular organisms; Eukaryota; Opisthokonta; Fungi; Dikarya; Basidiomycota; Agaricomycotina; Agaricomycetes; Agaricomycetes incertae sedis; Russulales; Stereaceae; Stereum</t>
  </si>
  <si>
    <t>cellular organisms; Eukaryota; Opisthokonta; Fungi; Dikarya; Ascomycota; saccharomyceta; Pezizomycotina; leotiomyceta; dothideomyceta; Dothideomycetes; Dothideomycetes incertae sedis; Wilsonomyces</t>
  </si>
  <si>
    <t>cellular organisms; Eukaryota; Opisthokonta; Fungi; Dikarya; Ascomycota; saccharomyceta; Pezizomycotina; leotiomyceta; sordariomyceta; Leotiomycetes; Helotiales; Sclerotiniaceae; Stromatinia</t>
  </si>
  <si>
    <t>cellular organisms; Eukaryota; Opisthokonta; Fungi; Dikarya; Basidiomycota; Agaricomycotina; Agaricomycetes; Agaricomycetidae; Agaricales; Agaricineae; Strophariaceae; Stropharia</t>
  </si>
  <si>
    <t>cellular organisms; Eukaryota; Opisthokonta; Fungi; Dikarya; Ascomycota; saccharomyceta; Saccharomycotina; Pichiomycetes; Serinales; Debaryomycetaceae; Suhomyces</t>
  </si>
  <si>
    <t>cellular organisms; Eukaryota; Opisthokonta; Fungi; Fungi incertae sedis; Mucoromycota; Mucoromycotina; Mucoromycetes; Mucorales; Mucorineae; Rhizopodaceae; Syzygites</t>
  </si>
  <si>
    <t>cellular organisms; Eukaryota; Opisthokonta; Fungi; Dikarya; Ascomycota; Taphrinomycotina; Taphrinomycetes; Taphrinales; Taphrinaceae; Taphrina</t>
  </si>
  <si>
    <t>cellular organisms; Eukaryota; Opisthokonta; Fungi; Dikarya; Basidiomycota; Agaricomycotina; Tremellomycetes; Cystofilobasidiales; Mrakiaceae; Tausonia</t>
  </si>
  <si>
    <t>cellular organisms; Eukaryota; Opisthokonta; Fungi; Dikarya; Ascomycota; saccharomyceta; Saccharomycotina; Pichiomycetes; Serinales; Debaryomycetaceae; Teunomyces</t>
  </si>
  <si>
    <t>cellular organisms; Eukaryota; Opisthokonta; Fungi; Dikarya; Ascomycota; saccharomyceta; Pezizomycotina; leotiomyceta; Eurotiomycetes; Eurotiomycetidae; Eurotiales; Thermoascaceae; Thermoascus</t>
  </si>
  <si>
    <t>cellular organisms; Eukaryota; Opisthokonta; Fungi; Dikarya; Ascomycota; saccharomyceta; Pezizomycotina; leotiomyceta; sordariomyceta; Sordariomycetes; Sordariomycetidae; Sordariales; Chaetomiaceae; Thermocarpiscus</t>
  </si>
  <si>
    <t>cellular organisms; Eukaryota; Opisthokonta; Fungi; Dikarya; Ascomycota; saccharomyceta; Pezizomycotina; leotiomyceta; sordariomyceta; Sordariomycetes; Sordariomycetidae; Sordariales; Chaetomiaceae; Thermochaetoides</t>
  </si>
  <si>
    <t>cellular organisms; Eukaryota; Opisthokonta; Fungi; Dikarya; Ascomycota; saccharomyceta; Pezizomycotina; leotiomyceta; Eurotiomycetes; Eurotiomycetidae; Eurotiales; Trichocomaceae; Thermomyces</t>
  </si>
  <si>
    <t>cellular organisms; Eukaryota; Opisthokonta; Fungi; Dikarya; Ascomycota; saccharomyceta; Pezizomycotina; leotiomyceta; sordariomyceta; Sordariomycetes; Sordariomycetidae; Sordariales; Chaetomiaceae; Thermothelomyces</t>
  </si>
  <si>
    <t>cellular organisms; Eukaryota; Opisthokonta; Fungi; Dikarya; Ascomycota; saccharomyceta; Pezizomycotina; leotiomyceta; sordariomyceta; Sordariomycetes; Sordariomycetidae; Sordariales; Chaetomiaceae; Thermothielavioides</t>
  </si>
  <si>
    <t>cellular organisms; Eukaryota; Opisthokonta; Fungi; Dikarya; Basidiomycota; Agaricomycotina; Agaricomycetes; Agaricomycetes incertae sedis; Polyporales; Polyporaceae; Coriolopsis</t>
  </si>
  <si>
    <t>cellular organisms; Eukaryota; Opisthokonta; Fungi; Dikarya; Basidiomycota; Agaricomycotina; Agaricomycetes; Agaricomycetes incertae sedis; Polyporales; Irpicaceae; Trametopsis</t>
  </si>
  <si>
    <t>cellular organisms; Eukaryota; Opisthokonta; Fungi; Dikarya; Ascomycota; saccharomyceta; Pezizomycotina; leotiomyceta; sordariomyceta; Sordariomycetes; Sordariomycetidae; Sordariales; Podosporaceae; Podospora</t>
  </si>
  <si>
    <t>cellular organisms; Eukaryota; Opisthokonta; Fungi; Dikarya; Basidiomycota; Agaricomycotina; Agaricomycetes; Agaricomycetidae; Agaricales; Tricholomatineae; Tricholomataceae; Tricholoma</t>
  </si>
  <si>
    <t>cellular organisms; Eukaryota; Opisthokonta; Fungi; Dikarya; Ascomycota; saccharomyceta; Pezizomycotina; leotiomyceta; Eurotiomycetes; Eurotiomycetidae; Onygenales; Arthrodermataceae; Trichophyton</t>
  </si>
  <si>
    <t>cellular organisms; Eukaryota; Opisthokonta; Fungi; Dikarya; Ascomycota; saccharomyceta; Pezizomycotina; leotiomyceta; sordariomyceta; Sordariomycetes; Hypocreomycetidae; Hypocreales; Hypocreales incertae sedis; Trichothecium</t>
  </si>
  <si>
    <t>cellular organisms; Eukaryota; Opisthokonta; Fungi; Dikarya; Basidiomycota; Pucciniomycotina; Pucciniomycetes; Pucciniales; Pucciniaceae; Uromyces</t>
  </si>
  <si>
    <t>cellular organisms; Eukaryota; Opisthokonta; Fungi; Dikarya; Basidiomycota; Agaricomycotina; Agaricomycetes; Agaricomycetes incertae sedis; Polyporales; Polyporaceae; Perenniporia</t>
  </si>
  <si>
    <t>cellular organisms; Eukaryota; Opisthokonta; Fungi; Dikarya; Ascomycota; saccharomyceta; Pezizomycotina; Pezizomycetes; Pezizales; Morchellaceae; Verpa</t>
  </si>
  <si>
    <t>cellular organisms; Eukaryota; Opisthokonta; Fungi; Dikarya; Basidiomycota; Agaricomycotina; Tremellomycetes; Tremellales; Bulleribasidiaceae; Vishniacozyma</t>
  </si>
  <si>
    <t>cellular organisms; Eukaryota; Opisthokonta; Fungi; Dikarya; Basidiomycota; Agaricomycotina; Agaricomycetes; Agaricomycetidae; Agaricales; Pluteineae; Pluteaceae; Volvariella</t>
  </si>
  <si>
    <t>cellular organisms; Eukaryota; Opisthokonta; Fungi; Dikarya; Basidiomycota; Agaricomycotina; Agaricomycetes; Agaricomycetes incertae sedis; Corticiales; Vuilleminiaceae; Vuilleminia</t>
  </si>
  <si>
    <t>cellular organisms; Eukaryota; Opisthokonta; Fungi; Dikarya; Ascomycota; saccharomyceta; Saccharomycotina; Saccharomycetes; Phaffomycetales; Wickerhamomycetaceae; Wickerhamomyces</t>
  </si>
  <si>
    <t>cellular organisms; Eukaryota; Opisthokonta; Fungi; Dikarya; Ascomycota; saccharomyceta; Saccharomycotina; Dipodascomycetes; Dipodascales; Dipodascales incertae sedis; Yarrowia</t>
  </si>
  <si>
    <t>cellular organisms; Eukaryota; Opisthokonta; Fungi; Dikarya; Ascomycota; saccharomyceta; Pezizomycotina; leotiomyceta; dothideomyceta; Dothideomycetes; Dothideomycetidae; Mycosphaerellales; Mycosphaerellaceae; Zasmidium</t>
  </si>
  <si>
    <t>cellular organisms; Eukaryota; Opisthokonta; Fungi; Dikarya; Ascomycota; saccharomyceta; Saccharomycotina; Saccharomycetes; Saccharomycetales; Saccharomycetaceae; Zygosaccharomyces</t>
  </si>
  <si>
    <t>cellular organisms; Eukaryota; Opisthokonta; Fungi; Dikarya; Ascomycota; Hypocreales; Clavicipitaceae; Aschersonia</t>
  </si>
  <si>
    <t>cellular organisms; Eukaryota; Opisthokonta; Fungi; Dikarya; Ascomycota; saccharomyceta; Pezizomycotina; leotiomyceta; dothideomyceta; Dothideomycetes; Pleosporomycetidae; Pleosporomycetidae incertae sedis; Gloniaceae; Cenococcum; Cenococcum geophilum</t>
  </si>
  <si>
    <t>Proteome file source</t>
  </si>
  <si>
    <t>Clade</t>
  </si>
  <si>
    <t>Opisthokont</t>
  </si>
  <si>
    <t>SAR</t>
  </si>
  <si>
    <t>Kindom</t>
  </si>
  <si>
    <t>Division</t>
  </si>
  <si>
    <t>Subkingdom</t>
  </si>
  <si>
    <t xml:space="preserve"> Mucoromycota</t>
  </si>
  <si>
    <t xml:space="preserve"> Basidiomycota</t>
  </si>
  <si>
    <t xml:space="preserve"> Ascomycota</t>
  </si>
  <si>
    <t xml:space="preserve"> Albuginales</t>
  </si>
  <si>
    <t xml:space="preserve"> Blastocladiomycota</t>
  </si>
  <si>
    <t xml:space="preserve"> Saprolegniales</t>
  </si>
  <si>
    <t xml:space="preserve"> Pythiales</t>
  </si>
  <si>
    <t xml:space="preserve"> Peronosporales</t>
  </si>
  <si>
    <t xml:space="preserve"> Chytridiomycota</t>
  </si>
  <si>
    <t xml:space="preserve"> Fungi incertae sedis</t>
  </si>
  <si>
    <t xml:space="preserve"> Dikarya</t>
  </si>
  <si>
    <t xml:space="preserve"> Oomycota</t>
  </si>
  <si>
    <t>cellular organisms; Eukaryota; Opisthokonta; Fungi; Dikarya; Basidiomycota; Agaricomycotina; Agaricomycetes; Agaricomycetes incertae sedis; Polyporales; Polyporaceae; Cubamyces</t>
  </si>
  <si>
    <t>Madurella mycetomatis </t>
  </si>
  <si>
    <t>cellular organisms; Eukaryota; Opisthokonta; Fungi; Dikarya; Ascomycota; saccharomyceta; Pezizomycotina; leotiomyceta; Eurotiomycetes; Eurotiomycetidae; Eurotiales; Aspergillaceae; Monascus; Monascus purpureus</t>
  </si>
  <si>
    <t>Septoria lycopersici</t>
  </si>
  <si>
    <t>cellular organisms; Eukaryota; Opisthokonta; Fungi; Fungi incertae sedis; Cryptomycota; Cryptomycota incertae sedis; Rozella</t>
  </si>
  <si>
    <t>Cryptomycota</t>
  </si>
  <si>
    <t>Helminthosporium vesicarium</t>
  </si>
  <si>
    <t>cellular organisms; Eukaryota; Opisthokonta; Fungi; Dikarya; Ascomycota; saccharomyceta; Pezizomycotina; leotiomyceta; dothideomyceta; Dothideomycetes; Pleosporomycetidae; Pleosporales; Pleosporineae; Pleosporaceae; Stemphylium</t>
  </si>
  <si>
    <t>Order</t>
  </si>
  <si>
    <t>MIN</t>
  </si>
  <si>
    <t>MAX</t>
  </si>
  <si>
    <t>GENOMES</t>
  </si>
  <si>
    <t>PROTEOMES</t>
  </si>
  <si>
    <t xml:space="preserve"> Pezizomycotina</t>
  </si>
  <si>
    <t>Phallus Impudicus</t>
  </si>
  <si>
    <t>Source name</t>
  </si>
  <si>
    <t>Name from Fungal Names</t>
  </si>
  <si>
    <t> Fusarium verticillioides</t>
  </si>
  <si>
    <t xml:space="preserve">mucor endophyticus </t>
  </si>
  <si>
    <t>Penicillium griseofulvum </t>
  </si>
  <si>
    <t>Fusarium metavorans Al-Hatmi</t>
  </si>
  <si>
    <t>Other name(s)</t>
  </si>
  <si>
    <t>(Zhao et al. 2023a)</t>
  </si>
  <si>
    <t>(Lu et al. 2020)</t>
  </si>
  <si>
    <t>(Yan et al. 2021)</t>
  </si>
  <si>
    <t>(Shang et al. 2016)</t>
  </si>
  <si>
    <t>(Links et al. 2011)</t>
  </si>
  <si>
    <t>(Rajarammohan et al. 2019)</t>
  </si>
  <si>
    <t>(Belmas et al. 2018)</t>
  </si>
  <si>
    <t>(Feng et al. 2022)</t>
  </si>
  <si>
    <t>(Zhao et al. 2023b)</t>
  </si>
  <si>
    <t>(Zhang et al. 2018a)</t>
  </si>
  <si>
    <t>(Li et al. 2018)</t>
  </si>
  <si>
    <t>(Oh et al. 2021)</t>
  </si>
  <si>
    <t>(Chibucos et al. 2016)</t>
  </si>
  <si>
    <t>(Prakash et al. 2017)</t>
  </si>
  <si>
    <t>(Collins et al. 2013)</t>
  </si>
  <si>
    <t>(Kadooka et al. 2021)</t>
  </si>
  <si>
    <t>(Nierman et al. 2005)</t>
  </si>
  <si>
    <t>(de Vries et al. 2017)</t>
  </si>
  <si>
    <t>(Kis-Papo et al. 2014)</t>
  </si>
  <si>
    <t>(Choque et al. 2018)</t>
  </si>
  <si>
    <t>(Schardl et al. 2014)</t>
  </si>
  <si>
    <t>(Wingfield et al. 2018)</t>
  </si>
  <si>
    <t>(Binder et al. 2013, Sugawara and Sugano 2023)</t>
  </si>
  <si>
    <t>(Peng et al. 2020)</t>
  </si>
  <si>
    <t>(Goordial et al. 2016)</t>
  </si>
  <si>
    <t>(Chávez-Tinoco et al. 2024)</t>
  </si>
  <si>
    <t>(Santos 2020)</t>
  </si>
  <si>
    <t>(Niu et al. 2022)</t>
  </si>
  <si>
    <t>(Yang et al. 2023)</t>
  </si>
  <si>
    <t>(Reina et al. 2019)</t>
  </si>
  <si>
    <t>(Khojasteh et al. 2022)</t>
  </si>
  <si>
    <t>(Kang et al. 2019)</t>
  </si>
  <si>
    <t>(Ng Kee et al. 2012)</t>
  </si>
  <si>
    <t>(Li et al. 2023a)</t>
  </si>
  <si>
    <t>(Rogério et al. 2020)</t>
  </si>
  <si>
    <t>(Baroncelli et al. 2014)</t>
  </si>
  <si>
    <t>(Fan et al. 2022)</t>
  </si>
  <si>
    <t>(da Silva et al. 2024)</t>
  </si>
  <si>
    <t>(Dvorianinova et al. 2024)</t>
  </si>
  <si>
    <t>(Silva Junior et al. 2018)</t>
  </si>
  <si>
    <t>(Liu et al. 2021)</t>
  </si>
  <si>
    <t>(Wang et al. 2016)</t>
  </si>
  <si>
    <t>(Hongchao et al. 2022)</t>
  </si>
  <si>
    <t>(Tsuji et al. 2022)</t>
  </si>
  <si>
    <t>(Huang et al. 2021)</t>
  </si>
  <si>
    <t>(Mena et al. 2022)</t>
  </si>
  <si>
    <t>(Kessie 2013)</t>
  </si>
  <si>
    <t>(Liu et al. 2023)</t>
  </si>
  <si>
    <t>(Garcia et al. 2021)</t>
  </si>
  <si>
    <t>(Shanmugam et al. 2019)</t>
  </si>
  <si>
    <t>(Wendland and Walther 2014)</t>
  </si>
  <si>
    <t>(Kurata et al. 2016)</t>
  </si>
  <si>
    <t>(Kancherla et al. 2017)</t>
  </si>
  <si>
    <t>(Firdaus-Raih et al. 2018)</t>
  </si>
  <si>
    <t>(Lévesque et al. 2010)</t>
  </si>
  <si>
    <t>(Wang et al. 2019)</t>
  </si>
  <si>
    <t>(Turchetti et al. 2022)</t>
  </si>
  <si>
    <t>(Mattupalli et al. 2014)</t>
  </si>
  <si>
    <t>(Porto et al. 2019)</t>
  </si>
  <si>
    <t>(Gong et al. 2020)</t>
  </si>
  <si>
    <t>(Agrawal et al. 2015)</t>
  </si>
  <si>
    <t>(Al-Salihi et al. 2019)</t>
  </si>
  <si>
    <t>(Min et al. 2018)</t>
  </si>
  <si>
    <t>(Zhu et al. 2019)</t>
  </si>
  <si>
    <t>(Quan et al. 2021)</t>
  </si>
  <si>
    <t>(James et al. 2023)</t>
  </si>
  <si>
    <t>(Morio et al. 2020)</t>
  </si>
  <si>
    <t>(Schwartze et al. 2014)</t>
  </si>
  <si>
    <t>(Shea et al. 2023)</t>
  </si>
  <si>
    <t>(Konings et al. 2024)</t>
  </si>
  <si>
    <t>(Tavares et al. 2014)</t>
  </si>
  <si>
    <t>(Nemri et al. 2014)</t>
  </si>
  <si>
    <t>(Piombo et al. 2018)</t>
  </si>
  <si>
    <t>(Rahmat et al. 2021)</t>
  </si>
  <si>
    <t>(Yoon et al. 2022)</t>
  </si>
  <si>
    <t>(Tsuji et al. 2015)</t>
  </si>
  <si>
    <t>(Fujikawa et al. 2024)</t>
  </si>
  <si>
    <t>(Su et al. 2016)</t>
  </si>
  <si>
    <t>(Sun et al. 2022)</t>
  </si>
  <si>
    <t>(Leo et al. 2023)</t>
  </si>
  <si>
    <t>(Zhang et al. 2018b)</t>
  </si>
  <si>
    <t>(Brandt et al. 2021)</t>
  </si>
  <si>
    <t>(Wu et al. 2020)</t>
  </si>
  <si>
    <t>(Derevnina et al. 2015)</t>
  </si>
  <si>
    <t>(Eichmeier et al. 2022)</t>
  </si>
  <si>
    <t>(Mandal et al. 2022)</t>
  </si>
  <si>
    <t>(Srivastava et al. 2021)</t>
  </si>
  <si>
    <t>(Wang et al. 2021)</t>
  </si>
  <si>
    <t>(Lee et al. 2020)</t>
  </si>
  <si>
    <t>(Zhou et al. 2022)</t>
  </si>
  <si>
    <t>(Yin et al. 2017)</t>
  </si>
  <si>
    <t>(Yu et al. 2022)</t>
  </si>
  <si>
    <t>(Stringer and Cushion 1998)</t>
  </si>
  <si>
    <t>(Gañán et al. 2020)</t>
  </si>
  <si>
    <t>(Chen et al. 2019)</t>
  </si>
  <si>
    <t>(Rochi et al. 2018)</t>
  </si>
  <si>
    <t>(Adhikari et al. 2013)</t>
  </si>
  <si>
    <t>(Nguyen et al. 2022)</t>
  </si>
  <si>
    <t>(Choo et al. 2016)</t>
  </si>
  <si>
    <t>(Tian et al. 2022)</t>
  </si>
  <si>
    <t>(Paiva et al. 2024)</t>
  </si>
  <si>
    <t>(Srivastava et al. 2024)</t>
  </si>
  <si>
    <t>(Yang et al. 2022)</t>
  </si>
  <si>
    <t>(Steins et al. 2023)</t>
  </si>
  <si>
    <t>(Huang et al. 2020a)</t>
  </si>
  <si>
    <t>(Gazzetti et al. 2019)</t>
  </si>
  <si>
    <t>(Concia et al. 2009)</t>
  </si>
  <si>
    <t>(Tian et al. 2021)</t>
  </si>
  <si>
    <t>(Berka et al. 2011)</t>
  </si>
  <si>
    <t>(Pavlov Andrey et al. 2015)</t>
  </si>
  <si>
    <t>(Link et al. 2014)</t>
  </si>
  <si>
    <t>(Matsumoto et al. 2023)</t>
  </si>
  <si>
    <t>(Chen et al. 2017)</t>
  </si>
  <si>
    <t>(Baeza et al. 2021)</t>
  </si>
  <si>
    <t>(Haase et al. 2017)</t>
  </si>
  <si>
    <t>(Nguyen et al. 2016a)</t>
  </si>
  <si>
    <t>(Mouchacca 2000)</t>
  </si>
  <si>
    <t>(Imtiaj et al. 2009, Ma et al. 2014)</t>
  </si>
  <si>
    <t>(Furlan et al. 1997)</t>
  </si>
  <si>
    <t>(Shu et al. 2007)</t>
  </si>
  <si>
    <t>(Bebber et al. 2020)</t>
  </si>
  <si>
    <t>(Vu et al. 2007, Aiuchi et al. 2008)</t>
  </si>
  <si>
    <t>(Nielsen 1982)</t>
  </si>
  <si>
    <t>(Sardella et al. 2018)</t>
  </si>
  <si>
    <t>(Vaquera et al. 2014)</t>
  </si>
  <si>
    <t>(Hempherson-Jones and Phelps 1989)</t>
  </si>
  <si>
    <t>(Doran 1922)</t>
  </si>
  <si>
    <t>(Guo et al. 2008)</t>
  </si>
  <si>
    <t>(Hacskaylo et al. 1965)</t>
  </si>
  <si>
    <t>(Morgenstern et al. 2012)</t>
  </si>
  <si>
    <t>(Panebianco 1994)</t>
  </si>
  <si>
    <t>(Alvarez et al. 2010)</t>
  </si>
  <si>
    <t>(Phillips and Burdekin 1982, Desprez-Loustau et al. 2010)</t>
  </si>
  <si>
    <t>(Desprez-Loustau et al. 2010)</t>
  </si>
  <si>
    <t>(Suresh et al. 2024)</t>
  </si>
  <si>
    <t>(Jeon and Ka 2014)</t>
  </si>
  <si>
    <t>(Osborne and Landa 1992)</t>
  </si>
  <si>
    <t>(Mráz et al. 2021)</t>
  </si>
  <si>
    <t>(Pratibha and Pal 2021)</t>
  </si>
  <si>
    <t>(Astoreca et al. 2007)</t>
  </si>
  <si>
    <t>(Benassi et al. 2014)</t>
  </si>
  <si>
    <t>(Figueredo et al. 2020)</t>
  </si>
  <si>
    <t>(Glässnerová et al. 2022)</t>
  </si>
  <si>
    <t>(Mannaa and Kim 2017, Glässnerová et al. 2022)</t>
  </si>
  <si>
    <t>(Mastrodimos et al. 2019)</t>
  </si>
  <si>
    <t>(Famurewa and Olutiola 1991)</t>
  </si>
  <si>
    <t>(Barrs et al. 2013)</t>
  </si>
  <si>
    <t>(McEvoy and Stuart 1970, Benassi et al. 2014)</t>
  </si>
  <si>
    <t>(Schindler et al. 1967, Gomi 2014)</t>
  </si>
  <si>
    <t>(Samadi et al. 2015)</t>
  </si>
  <si>
    <t>(Mouchacca 2000, Barrs et al. 2013, Benassi et al. 2014)</t>
  </si>
  <si>
    <t>(Kostadinova et al. 2017)</t>
  </si>
  <si>
    <t>(Heath and Eggins 1965, Ito et al. 2001)</t>
  </si>
  <si>
    <t>(Kaminskyj 2001)</t>
  </si>
  <si>
    <t>(Alborch et al. 2011a, Figueredo et al. 2020)</t>
  </si>
  <si>
    <t>(Benassi et al. 2014, Figueredo et al. 2020)</t>
  </si>
  <si>
    <t>(Gock et al. 2003)</t>
  </si>
  <si>
    <t>(Alborch et al. 2011b)</t>
  </si>
  <si>
    <t>(Miller and Srinivasan 1983, Benassi et al. 2014)</t>
  </si>
  <si>
    <t>(Selouane et al. 2009)</t>
  </si>
  <si>
    <t>(Sugui et al. 2010)</t>
  </si>
  <si>
    <t>(Leuchtmann and Clay 1989)</t>
  </si>
  <si>
    <t>(Nasr et al. 2018)</t>
  </si>
  <si>
    <t>(Abu-Mejdad et al. 2019)</t>
  </si>
  <si>
    <t>(McNeil and Kristiansen 1990)</t>
  </si>
  <si>
    <t>(Shen et al. 2020)</t>
  </si>
  <si>
    <t>(Jo et al. 2014)</t>
  </si>
  <si>
    <t>(Hassan and Medany 2012)</t>
  </si>
  <si>
    <t>(Xing-Hong et al. 2016)</t>
  </si>
  <si>
    <t>(Ekesi et al. 1999, Rubin 2001)</t>
  </si>
  <si>
    <t>(Zimmermann 2007)</t>
  </si>
  <si>
    <t>(Zhang XiaoFei et al. 2013)</t>
  </si>
  <si>
    <t>(Wang et al. 2001)</t>
  </si>
  <si>
    <t>(Maphanga Tsidiso et al. 2020)</t>
  </si>
  <si>
    <t>(Jiang et al. 2018)</t>
  </si>
  <si>
    <t>(Stanoeva and Ilıev 2014)</t>
  </si>
  <si>
    <t>(Xu et al. 2008b)</t>
  </si>
  <si>
    <t>(Pugh and MacDonald 1980)</t>
  </si>
  <si>
    <t>(Kiyashko 2017)</t>
  </si>
  <si>
    <t>(Zhuang et al. 2021)</t>
  </si>
  <si>
    <t>(Furukawa et al. 2005)</t>
  </si>
  <si>
    <t>(Garfinkel et al. 2019)</t>
  </si>
  <si>
    <t>(Sabri et al. 2000)</t>
  </si>
  <si>
    <t>(Thomas 2016)</t>
  </si>
  <si>
    <t>(Duncan et al. 2006)</t>
  </si>
  <si>
    <t>(Fell and Meyer 1967)</t>
  </si>
  <si>
    <t>(Robert et al. 2015)</t>
  </si>
  <si>
    <t>(Farias et al. 2022)</t>
  </si>
  <si>
    <t>(Du et al. 2021)</t>
  </si>
  <si>
    <t>(Kuvshinnikov et al. 1977)</t>
  </si>
  <si>
    <t>(Valík et al. 2017)</t>
  </si>
  <si>
    <t>(Casagrande Pierantoni et al. 2021)</t>
  </si>
  <si>
    <t>(Deshaware et al. 2021)</t>
  </si>
  <si>
    <t>(de Hoog et al. 2011)</t>
  </si>
  <si>
    <t>(Gleason and McGee 2008)</t>
  </si>
  <si>
    <t>(Moore and Six 2015)</t>
  </si>
  <si>
    <t>(Brasier and Stephens 1993)</t>
  </si>
  <si>
    <t>(Kilaru et al. 2022)</t>
  </si>
  <si>
    <t>(Nakasone 1981)</t>
  </si>
  <si>
    <t>(Anandi et al. 1989, Morgenstern et al. 2012)</t>
  </si>
  <si>
    <t>(Rodríguez et al. 2002)</t>
  </si>
  <si>
    <t>(Badali et al. 2011)</t>
  </si>
  <si>
    <t>(De Hoog et al. 2007, Govindaraju et al. 2020)</t>
  </si>
  <si>
    <t>(Badali et al. 2008)</t>
  </si>
  <si>
    <t>(Zalar et al. 2007)</t>
  </si>
  <si>
    <t>(Aihara et al. 2002)</t>
  </si>
  <si>
    <t>(Mitchell and Cooke 1968)</t>
  </si>
  <si>
    <t>(Berardi and Fatichenti 1988)</t>
  </si>
  <si>
    <t>(Egeberg et al. 1964)</t>
  </si>
  <si>
    <t>(Cordeiro et al. 2006)</t>
  </si>
  <si>
    <t>(Leonard 1977)</t>
  </si>
  <si>
    <t>(Han et al. 2016)</t>
  </si>
  <si>
    <t>(Tashiro et al. 2018)</t>
  </si>
  <si>
    <t>(Poltronieri et al. 2013, Han et al. 2016)</t>
  </si>
  <si>
    <t>(López-Moral et al. 2017)</t>
  </si>
  <si>
    <t>(Skoropad 1967)</t>
  </si>
  <si>
    <t>(Erxun et al. 2002)</t>
  </si>
  <si>
    <t>(Feng et al. 2024a)</t>
  </si>
  <si>
    <t>(Dubrulle et al. 2020)</t>
  </si>
  <si>
    <t>(Korpi et al. 1998)</t>
  </si>
  <si>
    <t>(Sterflinger 1998)</t>
  </si>
  <si>
    <t>(Badalyan et al. 2011)</t>
  </si>
  <si>
    <t>(Hallsworth and Magan 1999)</t>
  </si>
  <si>
    <t>(Zimmermann 2008)</t>
  </si>
  <si>
    <t>(Jiaojiao et al. 2018)</t>
  </si>
  <si>
    <t>(Feng et al. 2024b)</t>
  </si>
  <si>
    <t>(Kuhlman and Pepper 1994)</t>
  </si>
  <si>
    <t>(Gottlieb 1950)</t>
  </si>
  <si>
    <t>(Selbmann et al. 2005)</t>
  </si>
  <si>
    <t>(Anagnostakis and Aylor 1984)</t>
  </si>
  <si>
    <t>(Schwiesow et al. 2024)</t>
  </si>
  <si>
    <t>(Mswaka and Magan 1999)</t>
  </si>
  <si>
    <t>(Almaguer et al. 2013)</t>
  </si>
  <si>
    <t>(Almaguer Chávez 2022)</t>
  </si>
  <si>
    <t>(Chen et al. 2013)</t>
  </si>
  <si>
    <t>(Sousa-Silva et al. 2021)</t>
  </si>
  <si>
    <t>(Kim et al. 2005a)</t>
  </si>
  <si>
    <t>(Travassos and Cury 1971)</t>
  </si>
  <si>
    <t>(Ekendahl et al. 2003)</t>
  </si>
  <si>
    <t>(Tsuji 2023)</t>
  </si>
  <si>
    <t>(Shi XiangPeng et al. 2015)</t>
  </si>
  <si>
    <t>(Schmidt 2006)</t>
  </si>
  <si>
    <t>(Yuyama et al. 2013)</t>
  </si>
  <si>
    <t>(Salvadó et al. 2011)</t>
  </si>
  <si>
    <t>(Van Uden 1985)</t>
  </si>
  <si>
    <t>(Brandam et al. 2008)</t>
  </si>
  <si>
    <t>(Zadražil and Brunnert 1982)</t>
  </si>
  <si>
    <t>(Infantino et al. 2016)</t>
  </si>
  <si>
    <t>(Desprez-Loustau et al. 2010, Kowalski et al. 2016)</t>
  </si>
  <si>
    <t>(Simpson and Hayes 1978)</t>
  </si>
  <si>
    <t>(Dukik et al. 2017)</t>
  </si>
  <si>
    <t>(Alker et al. 2001)</t>
  </si>
  <si>
    <t>(Mold Busters 2024)</t>
  </si>
  <si>
    <t>(Alderman 2013)</t>
  </si>
  <si>
    <t>(Christova and Slavov 2021)</t>
  </si>
  <si>
    <t>(Aguiar 2013)</t>
  </si>
  <si>
    <t>(Li et al. 2023b)</t>
  </si>
  <si>
    <t>(Boddy 1983)</t>
  </si>
  <si>
    <t>(Yazdanparast et al. 2017)</t>
  </si>
  <si>
    <t>(Song et al. 2017)</t>
  </si>
  <si>
    <t>(Carr et al. 2023)</t>
  </si>
  <si>
    <t>(Tonomura 1978)</t>
  </si>
  <si>
    <t>(Torii et al. 2021)</t>
  </si>
  <si>
    <t>(Najafzadeh et al. 2011)</t>
  </si>
  <si>
    <t>(Ru et al. 2002)</t>
  </si>
  <si>
    <t>(Elvira-Recuenco et al. 2021)</t>
  </si>
  <si>
    <t>(Tajuddin 2018)</t>
  </si>
  <si>
    <t>(Devi and Singh 1994, Moussa et al. 2017)</t>
  </si>
  <si>
    <t>(Ali et al. 1996)</t>
  </si>
  <si>
    <t>(Ritika et al. 2023)</t>
  </si>
  <si>
    <t>(Torp and Nirenberg 2004)</t>
  </si>
  <si>
    <t>(Aoki et al. 2018)</t>
  </si>
  <si>
    <t>(Cruz et al. 2019, López-Moral et al. 2024)</t>
  </si>
  <si>
    <t>(Kishi et al. 1999)</t>
  </si>
  <si>
    <t>(López-Moral et al. 2024)</t>
  </si>
  <si>
    <t>(Sabburg 2015)</t>
  </si>
  <si>
    <t>(Yan and Nelson Jr 2020)</t>
  </si>
  <si>
    <t>(Kapoor and Sharma 2014)</t>
  </si>
  <si>
    <t>(Nguyen et al. 2023a)</t>
  </si>
  <si>
    <t>(Plaza et al. 2003)</t>
  </si>
  <si>
    <t>(Lee et al. 2004)</t>
  </si>
  <si>
    <t>(Pitt and Hocking 2022)</t>
  </si>
  <si>
    <t>(Helston et al. 2010)</t>
  </si>
  <si>
    <t>(Nutman et al. 1963)</t>
  </si>
  <si>
    <t>(Ko et al. 2005)</t>
  </si>
  <si>
    <t>(Scirè et al. 2011)</t>
  </si>
  <si>
    <t>(Xiang et al. 2010)</t>
  </si>
  <si>
    <t>(Tedford et al. 1995)</t>
  </si>
  <si>
    <t>(Edgington et al. 2008)</t>
  </si>
  <si>
    <t>(Howell 1940)</t>
  </si>
  <si>
    <t>(Zohri et al.)</t>
  </si>
  <si>
    <t>(Jeon et al. 2012)</t>
  </si>
  <si>
    <t>(Kim et al. 2005b)</t>
  </si>
  <si>
    <t>(Kowalski and Bartnik 2010)</t>
  </si>
  <si>
    <t>(Hiscox et al. 2016)</t>
  </si>
  <si>
    <t>(Burgain et al. 2015)</t>
  </si>
  <si>
    <t>(Imtiaj et al. 2009)</t>
  </si>
  <si>
    <t>(Nieto-Sarabia et al. 2022)</t>
  </si>
  <si>
    <t>(Yu et al. 2024)</t>
  </si>
  <si>
    <t>(Deak , Travassos and Cury 1971, Van Uden 1985)</t>
  </si>
  <si>
    <t>(Tanji et al. 2004)</t>
  </si>
  <si>
    <t>(Noseda et al. 2013)</t>
  </si>
  <si>
    <t>(Freel et al. 2015)</t>
  </si>
  <si>
    <t>(Kogan Helen et al. 2023)</t>
  </si>
  <si>
    <t>(Kibar and Peksen 2011a)</t>
  </si>
  <si>
    <t>(Hou et al. 2015)</t>
  </si>
  <si>
    <t>(Luangharn et al. 2014)</t>
  </si>
  <si>
    <t>(Lee et al. 2008)</t>
  </si>
  <si>
    <t>(Kalaw et al. 2016)</t>
  </si>
  <si>
    <t>(Ghanbarnia et al. 2009)</t>
  </si>
  <si>
    <t>(Hess et al. 2024)</t>
  </si>
  <si>
    <t>(Margesin 2009)</t>
  </si>
  <si>
    <t>(Arthur and Watson 1976)</t>
  </si>
  <si>
    <t>(Hoffmann et al. 2007)</t>
  </si>
  <si>
    <t>(Nguyen et al. 2023b)</t>
  </si>
  <si>
    <t>(Naganuma et al. 1985)</t>
  </si>
  <si>
    <t>(Rizal et al. 2016)</t>
  </si>
  <si>
    <t>(Viejobueno et al. 2022)</t>
  </si>
  <si>
    <t>(de Hoog et al. 2020)</t>
  </si>
  <si>
    <t>(Kim et al. 2009)</t>
  </si>
  <si>
    <t>(Guillot and Bond 1999)</t>
  </si>
  <si>
    <t>(Akaza et al. 2012)</t>
  </si>
  <si>
    <t>(Lorch et al. 2018)</t>
  </si>
  <si>
    <t>(Chandrashekar and Heather 1981)</t>
  </si>
  <si>
    <t>(Vieira et al. 2020)</t>
  </si>
  <si>
    <t>(Kamga et al. 2022)</t>
  </si>
  <si>
    <t>(Ito et al. 2001)</t>
  </si>
  <si>
    <t>(Seib et al. 2023)</t>
  </si>
  <si>
    <t>(Rangel et al. 2010)</t>
  </si>
  <si>
    <t>(Wei et al. 2021, Hansali et al. 2023)</t>
  </si>
  <si>
    <t>(Kang et al. 2017)</t>
  </si>
  <si>
    <t>(Mažeika et al. 2021)</t>
  </si>
  <si>
    <t>(da Silveira et al. 2020)</t>
  </si>
  <si>
    <t>(Ernst et al. 2011)</t>
  </si>
  <si>
    <t>(Johnstone and La Touche 1956)</t>
  </si>
  <si>
    <t>(Cheng et al. 2020)</t>
  </si>
  <si>
    <t>(Campos-Esquivel et al. 2022)</t>
  </si>
  <si>
    <t>(Rasheva et al. 1998)</t>
  </si>
  <si>
    <t>(Derić et al. 2019)</t>
  </si>
  <si>
    <t>(Evans 2016)</t>
  </si>
  <si>
    <t>(Gilbert 1960, Xu et al. 2008a)</t>
  </si>
  <si>
    <t>(Sanz-Rocha et al. 2023)</t>
  </si>
  <si>
    <t>(Melo et al. 2014)</t>
  </si>
  <si>
    <t>(Ozimek et al. 2018)</t>
  </si>
  <si>
    <t>(Tapia-Vázquez et al. 2020)</t>
  </si>
  <si>
    <t>(Arthur and Watson 1976, Tsuji 2023)</t>
  </si>
  <si>
    <t>(Tsuji et al. 2019)</t>
  </si>
  <si>
    <t>(Xin and Zhou 2007)</t>
  </si>
  <si>
    <t>(Álvarez et al. 2011, Xia et al. 2011)</t>
  </si>
  <si>
    <t>(Mouchacca 1997)</t>
  </si>
  <si>
    <t>(Szebenyi et al. 2023)</t>
  </si>
  <si>
    <t>(Álvarez et al. 2011)</t>
  </si>
  <si>
    <t>(Scarcella et al. 2021)</t>
  </si>
  <si>
    <t>(Selbmann et al. 2013)</t>
  </si>
  <si>
    <t>(Sun et al. 2020)</t>
  </si>
  <si>
    <t>(Turchetti et al. 2020)</t>
  </si>
  <si>
    <t>(Robert et al. 2015, Turchetti et al. 2022)</t>
  </si>
  <si>
    <t>(Vishniac and Hempfling 1979)</t>
  </si>
  <si>
    <t>(Jiang et al. 2022)</t>
  </si>
  <si>
    <t>(Carro-Huerga et al. 2021)</t>
  </si>
  <si>
    <t>(Lovett and Thompson 1978)</t>
  </si>
  <si>
    <t>(Ryan et al. 1943)</t>
  </si>
  <si>
    <t>(Viswanath-Reddy and Turian 1975)</t>
  </si>
  <si>
    <t>(Ahmed et al. 2014)</t>
  </si>
  <si>
    <t>(Vilich-Meller 1992)</t>
  </si>
  <si>
    <t>(Lehnen et al. 2019)</t>
  </si>
  <si>
    <t>(Kiladze and Bitsadze 2024)</t>
  </si>
  <si>
    <t>(Dong and Yao 2011)</t>
  </si>
  <si>
    <t>(Moore and Ostry 2015)</t>
  </si>
  <si>
    <t>(Domir et al. 1991)</t>
  </si>
  <si>
    <t>(Sánchez et al. 2004)</t>
  </si>
  <si>
    <t>(Mouchacca 2007)</t>
  </si>
  <si>
    <t>(Raaman et al. 2010)</t>
  </si>
  <si>
    <t>(Kreusch 2022)</t>
  </si>
  <si>
    <t>(Mehra et al. 2018)</t>
  </si>
  <si>
    <t>(Peterson et al. 2004)</t>
  </si>
  <si>
    <t>(McRae et al. 1999)</t>
  </si>
  <si>
    <t>(Saccomori et al. 2015, Pitt and Hocking 2022)</t>
  </si>
  <si>
    <t>(Kotun 2017)</t>
  </si>
  <si>
    <t>(Miles and Trinci 1983)</t>
  </si>
  <si>
    <t>(Famurewa and Olutiola 1991, Pitt and Hocking 2022)</t>
  </si>
  <si>
    <t>(Polizzi et al. 2011)</t>
  </si>
  <si>
    <t>(Baert et al. 2007)</t>
  </si>
  <si>
    <t>(Perrone et al. 2015)</t>
  </si>
  <si>
    <t>(Pascual et al. 1997)</t>
  </si>
  <si>
    <t>(Polizzi et al. 2012)</t>
  </si>
  <si>
    <t>(Nguyen Van Long et al. 2021)</t>
  </si>
  <si>
    <t>(Segers 2017)</t>
  </si>
  <si>
    <t>(Colhoun 1973)</t>
  </si>
  <si>
    <t>(El-Gali 2017)</t>
  </si>
  <si>
    <t>(Whiting et al. 2001)</t>
  </si>
  <si>
    <t>(Bonde et al. 2012)</t>
  </si>
  <si>
    <t>(Mahajan 2011)</t>
  </si>
  <si>
    <t>(Margesin 2009, Turchetti et al. 2022)</t>
  </si>
  <si>
    <t>(Ianutsevich et al. 2023)</t>
  </si>
  <si>
    <t>(Burkholder and McVeigh 1940)</t>
  </si>
  <si>
    <t>(Lurwanu et al. 2020)</t>
  </si>
  <si>
    <t>(Deak)</t>
  </si>
  <si>
    <t>(Suh and Crawford 1991)</t>
  </si>
  <si>
    <t>(Wang et al. 2005)</t>
  </si>
  <si>
    <t>(Alam et al. 2009)</t>
  </si>
  <si>
    <t>(Yan et al. 2024)</t>
  </si>
  <si>
    <t>(Morgenstern et al. 2012, Huang and Nie 2015)</t>
  </si>
  <si>
    <t>(Sloand et al. 1993)</t>
  </si>
  <si>
    <t>(Riebold et al. 2023)</t>
  </si>
  <si>
    <t>(Yonow et al. 2019)</t>
  </si>
  <si>
    <t>(Campbell et al. 2019)</t>
  </si>
  <si>
    <t>(Finotti et al. 1993)</t>
  </si>
  <si>
    <t>(Gilles and Kennedy 2003)</t>
  </si>
  <si>
    <t>(Burrage 1970)</t>
  </si>
  <si>
    <t>(Simkin and Wheeler 1974)</t>
  </si>
  <si>
    <t>(Nxumalo 2018)</t>
  </si>
  <si>
    <t>(Özketen 2013)</t>
  </si>
  <si>
    <t>(Perdomo et al. 2013)</t>
  </si>
  <si>
    <t>(Hýsek et al. 2019)</t>
  </si>
  <si>
    <t>(Cardoso et al. 2008)</t>
  </si>
  <si>
    <t>(Shanmugapackiam et al. 2019, Kovaleski et al. 2020)</t>
  </si>
  <si>
    <t>(Chadha et al. 2019)</t>
  </si>
  <si>
    <t>(Selbmann et al. 2008)</t>
  </si>
  <si>
    <t>(Badali et al. 2010)</t>
  </si>
  <si>
    <t>(Grosch and Kofoet 2003, Orozoco-Avitia et al. 2013)</t>
  </si>
  <si>
    <t>(Zhou et al. 2014)</t>
  </si>
  <si>
    <t>(Silva Tony et al. 2005)</t>
  </si>
  <si>
    <t>(Stanier 1942)</t>
  </si>
  <si>
    <t>(Mouchacca 2000, Huang et al. 2005, Tasar et al. 2016)</t>
  </si>
  <si>
    <t>(Han and Nout 2000, Mouchacca 2007)</t>
  </si>
  <si>
    <t>(Touchette et al. 2021)</t>
  </si>
  <si>
    <t>(He et al. 2015)</t>
  </si>
  <si>
    <t>(Myint et al. 2020)</t>
  </si>
  <si>
    <t>(Lario et al. 2020)</t>
  </si>
  <si>
    <t>(Banno 1967)</t>
  </si>
  <si>
    <t>(Perry 1967)</t>
  </si>
  <si>
    <t>(Saensuk and Suntararak 2018)</t>
  </si>
  <si>
    <t>(Winans et al. 2020)</t>
  </si>
  <si>
    <t>(Hebly et al. 2015)</t>
  </si>
  <si>
    <t>(Naseeb et al. 2018)</t>
  </si>
  <si>
    <t>(Chen et al. 2022)</t>
  </si>
  <si>
    <t>(Joo et al. 2004)</t>
  </si>
  <si>
    <t>(Giraldo et al. 2015)</t>
  </si>
  <si>
    <t>(Paiva et al. 2023)</t>
  </si>
  <si>
    <t>(Tanimura et al. 2012)</t>
  </si>
  <si>
    <t>(du Preez et al. 1986)</t>
  </si>
  <si>
    <t>(Imtiaj et al. 2008)</t>
  </si>
  <si>
    <t>(Ward 1966)</t>
  </si>
  <si>
    <t>(Saito 1997)</t>
  </si>
  <si>
    <t>(Clarkson et al. 2014)</t>
  </si>
  <si>
    <t>(Traeger and Nowrousian 2015)</t>
  </si>
  <si>
    <t>(Białkowska et al. 2018)</t>
  </si>
  <si>
    <t>(Roets et al. 2008)</t>
  </si>
  <si>
    <t>(Furlan et al. 1997, Jeon and Ka 2014)</t>
  </si>
  <si>
    <t>(Furlan et al. 1997, Robert et al. 2015)</t>
  </si>
  <si>
    <t>(Nguyen et al. 2016b)</t>
  </si>
  <si>
    <t>(Wang et al. 2023)</t>
  </si>
  <si>
    <t>(Dhakar et al. 2014)</t>
  </si>
  <si>
    <t>(Bharti et al. 2018)</t>
  </si>
  <si>
    <t>(Plummer 1984)</t>
  </si>
  <si>
    <t>(Deploey 1990)</t>
  </si>
  <si>
    <t>(Huang et al. 2020b)</t>
  </si>
  <si>
    <t>(Lee et al. 2014)</t>
  </si>
  <si>
    <t>(Kumar and Edla Sujatha 2013, Siebecker 2021)</t>
  </si>
  <si>
    <t>(Wang et al. 2022)</t>
  </si>
  <si>
    <t>(Ramana Murthy et al. 1999)</t>
  </si>
  <si>
    <t>(Emelyanova 2005)</t>
  </si>
  <si>
    <t>(Yan et al. 2015)</t>
  </si>
  <si>
    <t>(Silar 2020)</t>
  </si>
  <si>
    <t>(Gezgin et al. 2020)</t>
  </si>
  <si>
    <t>(Gupta and Sharma 2013, Pitt and Hocking 2022)</t>
  </si>
  <si>
    <t>(Brown et al. 1990)</t>
  </si>
  <si>
    <t>(Cross and Kenerley 2004, Hamzah et al. 2012)</t>
  </si>
  <si>
    <t>(Al-Taweil et al. 2009)</t>
  </si>
  <si>
    <t>(Terashima 1994)</t>
  </si>
  <si>
    <t>(Kibar and Peksen 2011b)</t>
  </si>
  <si>
    <t>(Čmoková et al. 2020)</t>
  </si>
  <si>
    <t>(Singh and Agrawal 1982)</t>
  </si>
  <si>
    <t>(Kadhim et al. 2015)</t>
  </si>
  <si>
    <t>(Leonardi et al. 2017)</t>
  </si>
  <si>
    <t>(Salehi et al. 2023)</t>
  </si>
  <si>
    <t>(Bustan et al. 2006)</t>
  </si>
  <si>
    <t>(Garibaldi and Aloj 1980)</t>
  </si>
  <si>
    <t>(Hiratsuka 1934)</t>
  </si>
  <si>
    <t>(Cheng YanHui et al. 2011)</t>
  </si>
  <si>
    <t>(Samerpitak et al. 2017)</t>
  </si>
  <si>
    <t>(Chaudhuri 1923)</t>
  </si>
  <si>
    <t>(Soesanto and Termorshuizen 2001)</t>
  </si>
  <si>
    <t>(Margesin and Schinner 1997)</t>
  </si>
  <si>
    <t>(Orwa et al. 2020)</t>
  </si>
  <si>
    <t>(Steels et al. 1999)</t>
  </si>
  <si>
    <t>(Jermini and Schmidt-Lorenz 1987, Kobayashi and Hayashi 1998)</t>
  </si>
  <si>
    <t>Reference</t>
  </si>
  <si>
    <t>Abu-Mejdad, N., A. I. Al-Badran and A. H. Al-Saadoon (2019). "New record of ascomycetous yeasts strains from soil in Basrah, Iraq." Drug Invent. Today 11: 3073-3080.</t>
  </si>
  <si>
    <t>Adhikari, B. N., J. P. Hamilton, M. M. Zerillo, N. Tisserat, C. A. Lévesque and C. R. Buell (2013). "Comparative genomics reveals insight into virulence strategies of plant pathogenic oomycetes." PloS one 8(10): e75072.</t>
  </si>
  <si>
    <t>Agrawal, Y., I. Khatri, S. Subramanian and B. D. Shenoy (2015). "Genome Sequence, Comparative Analysis, and Evolutionary Insights into Chitinases of Entomopathogenic Fungus Hirsutella thompsonii." Genome Biology and Evolution 7(3): 916-930.</t>
  </si>
  <si>
    <t>Aguiar, T. S. d. Q. V. (2013). Understanding the biotechnological potential of Ashbya gossypii, Universidade do Minho (Portugal).</t>
  </si>
  <si>
    <t>Ahmed, S. A., W. W. J. van de Sande, D. A. Stevens, A. Fahal, A. D. van Diepeningen, S. B. J. Menken and G. S. de Hoog (2014). "Revision of agents of black-grain eumycetoma in the order Pleosporales." Persoonia - Molecular Phylogeny and Evolution of Fungi 33(1): 141-154.</t>
  </si>
  <si>
    <t>Aihara, M., T. Tanaka, T. Ohta and K. Takatori (2002). "Effect of temperature and water activity on the growth of Cladosporium sphaerospermum and Cladosporium cladosporioides." Biocontrol Science 7(3): 193-196.</t>
  </si>
  <si>
    <t>Aiuchi, D., Y. Baba, K. Inami, R. Shinya, M. Tani and M. Koike (2008). "Variation in growth at different temperatures and production and size of conidia in hybrid strains of Verticillium lecanii (Lecanicillium spp.)(Deuteromycotina: Hyphomycetes)." Applied entomology and zoology 43(3): 427-436.</t>
  </si>
  <si>
    <t>Akaza, N., H. Akamatsu, S. Takeoka, Y. Sasaki, H. Mizutani, S. Nakata and K. Matsunaga (2012). "Malassezia globosa tends to grow actively in summer conditions more than other cutaneous Malassezia species." The Journal of Dermatology 39(7): 613-616.</t>
  </si>
  <si>
    <t>Al-Salihi, S. A. A., T. T. Dao, K. Williams, A. M. Bailey and G. D. Foster (2019). "The Biogenetic Origin of the Biologically Active Naematolin of Hypholoma Species Involves an Unusual Sesquiterpene Synthase." Molecular Biotechnology 61(10): 754-762.</t>
  </si>
  <si>
    <t>Al-Taweil, H. I., M. B. Osman, A. Aidil and W. M. Yussof (2009). "Optimizing of Trichoderma viride cultivation in submerged state fermentation." American Journal of Applied Sciences 6(7): 1284.</t>
  </si>
  <si>
    <t>Alam, N., M. J. Shim, M. W. Lee, P. G. Shin, Y. B. Yoo and T. S. Lee (2009). "Vegetative Growth and Phylogenetic Relationship of Commercially Cultivated Strains of Pleurotus eryngii based on ITS sequence and RAPD." Mycobiology 37(4): 258-266.</t>
  </si>
  <si>
    <t>Alborch, L., M. R. Bragulat, M. L. Abarca and F. J. Cabañes (2011a). "Effect of water activity, temperature and incubation time on growth and ochratoxin A production by Aspergillus niger and Aspergillus carbonarius on maize kernels." International Journal of Food Microbiology 147(1): 53-57.</t>
  </si>
  <si>
    <t>Alborch, L., M. R. Bragulat, M. L. Abarca and F. J. Cabañes (2011b). "Temperature and incubation time effects on growth and ochratoxin A production by Aspergillus sclerotioniger and Aspergillus lacticoffeatus on culture media." Letters in Applied Microbiology 52(3): 208-212.</t>
  </si>
  <si>
    <t>Alderman, S. C. (2013). "Survival, germination, and growth of Epichloë typhina and significance of leaf wounds and insects in infection of orchardgrass." Plant disease 97(3): 323-328.</t>
  </si>
  <si>
    <t>Ali, H., D. Backhouse and L. W. Burgess (1996). "Fusarium heterosporum associated with paspalum ergot in eastern Australia." Australasian Plant Pathology 25(2): 120-125.</t>
  </si>
  <si>
    <t>Alker, A. P., G. W. Smith and K. Kim (2001). "Characterization of Aspergillus sydowii (Thom et Church), a fungal pathogen of Caribbean sea fan corals." Hydrobiologia 460(1): 105-111.</t>
  </si>
  <si>
    <t>Almaguer Chávez, M. (2022). Thermotolerance and Adaptation to Climate Change. The Impact of Climate Change on Fungal Diseases. M. G. Frías-De-León, C. Brunner-Mendoza, M. d. R. Reyes-Montes and E. Duarte-Escalante. Cham, Springer International Publishing: 37-71.</t>
  </si>
  <si>
    <t>Almaguer, M., T. I. Rojas, V. Dobal, A. Batista and M. J. Aira (2013). "Effect of temperature on growth and germination of conidia in Curvularia and Bipolaris species isolated from the air." Aerobiologia 29(1): 13-20.</t>
  </si>
  <si>
    <t>Álvarez, E., J. Cano, A. M. Stchigel, D. A. Sutton, A. W. Fothergill, V. Salas, M. G. Rinaldi and J. Guarro (2011). "Two new species of Mucor from clinical samples." Medical Mycology 49(1): 62-72.</t>
  </si>
  <si>
    <t>Alvarez, E., A. M. Stchigel, J. Cano, D. A. Sutton, A. W. Fothergill, J. Chander, V. Salas, M. G. Rinaldi and J. Guarro (2010). "Molecular phylogenetic diversity of the emerging mucoralean fungus Apophysomyces: Proposal of three new species." Revista Iberoamericana de Micología 27(2): 80-89.</t>
  </si>
  <si>
    <t>Anagnostakis, S. L. and D. E. Aylor (1984). "The Effect of Temperature on Growth of Endothia (Cryphonectria) Parasitica in Vitro and in Vivo." Mycologia 76(3): 387-397.</t>
  </si>
  <si>
    <t>Anandi, V., T. J. John, A. Walter, J. Shastry, M. Lalitha, A. A. Padhye, L. Ajello and F. W. Chandler (1989). "Cerebral phaeohyphomycosis caused by Chaetomium globosum in a renal transplant recipient." Journal of Clinical Microbiology 27(10): 2226-2229.</t>
  </si>
  <si>
    <t>Aoki, T., M. T. Kasson, M. C. Berger, S. Freeman, D. M. Geiser and K. O'Donnell (2018). "Fusarium oligoseptatum sp. nov., a mycosymbiont of the ambrosia beetle Euwallacea validus in the Eastern U.S. and typification of F. ambrosium." Fungal Systematics and Evolution 1(1): 23-39.</t>
  </si>
  <si>
    <t>Arthur, H. and K. Watson (1976). "Thermal adaptation in yeast: growth temperatures, membrane lipid, and cytochrome composition of psychrophilic, mesophilic, and thermophilic yeasts." Journal of Bacteriology 128(1): 56-68.</t>
  </si>
  <si>
    <t>Astoreca, A., C. Magnoli, M. L. Ramirez, M. Combina and A. Dalcero (2007). "Water activity and temperature effects on growth of Aspergillus niger, A. awamori and A. carbonarius isolated from different substrates in Argentina." International Journal of Food Microbiology 119(3): 314-318.</t>
  </si>
  <si>
    <t>Badali, H., J. Chander, S. Bansal, A. Aher, S. Borkar Surendra, F. Meis Jacques and G. S. De Hoog (2010). "First Autochthonous Case of Rhinocladiella mackenziei Cerebral Abscess Outside the Middle East." Journal of Clinical Microbiology 48(2): 646-649.</t>
  </si>
  <si>
    <t>Badali, H., C. Gueidan, M. Najafzadeh, A. Bonifaz, A. G. van den Ende and G. De Hoog (2008). "Biodiversity of the genus Cladophialophora." Studies in Mycology 61(1): 175-191.</t>
  </si>
  <si>
    <t>Badali, H., F. X. Prenafeta-Boldu, J. Guarro, C. H. Klaassen, J. F. Meis and G. S. de Hoog (2011). "Cladophialophora psammophila, a novel species of Chaetothyriales with a potential use in the bioremediation of volatile aromatic hydrocarbons." Fungal Biology 115(10): 1019-1029.</t>
  </si>
  <si>
    <t>Badalyan, S. M., K. Szafranski, P. J. Hoegger, M. Navarro-González, A. Majcherczyk and U. Kües (2011) "New Armenian Wood-Associated Coprinoid Mushrooms: Coprinopsis strossmayeri and Coprinellus aff. radians." Diversity 3, 136-154 DOI: 10.3390/d3010136.</t>
  </si>
  <si>
    <t>Baert, K., A. Valero, B. De Meulenaer, S. Samapundo, M. M. Ahmed, L. Bo, J. Debevere and F. Devlieghere (2007). "Modeling the effect of temperature on the growth rate and lag phase of Penicillium expansum in apples." International Journal of Food Microbiology 118(2): 139-150.</t>
  </si>
  <si>
    <t>Baeza, M., S. Zúñiga, V. Peragallo, S. Barahona, J. Alcaino and V. Cifuentes (2021). "Identification of Stress-Related Genes and a Comparative Analysis of the Amino Acid Compositions of Translated Coding Sequences Based on Draft Genome Sequences of Antarctic Yeasts." Frontiers in Microbiology 12.</t>
  </si>
  <si>
    <t>Banno, I. (1967). "Studies on the sexuality of Rhodotorula." The Journal of General and Applied Microbiology 13(2): 167-196.</t>
  </si>
  <si>
    <t>Baroncelli, R., S. Sreenivasaprasad, A. Sukno Serenella, R. Thon Michael and E. Holub (2014). "Draft Genome Sequence of Colletotrichum acutatum Sensu Lato (Colletotrichum fioriniae)." Genome Announcements 2(2): 10.1128/genomea.00112-00114.</t>
  </si>
  <si>
    <t>Barrs, V. R., T. M. van Doorn, J. Houbraken, S. E. Kidd, P. Martin, M. D. Pinheiro, M. Richardson, J. Varga and R. A. Samson (2013). "Aspergillus felis sp. nov., an emerging agent of invasive aspergillosis in humans, cats, and dogs." PLoS One 8(6): e64871.</t>
  </si>
  <si>
    <t>Bebber, D., T. Chaloner and S. Gurr (2020). Fungal and Oomycete cardinal temperatures (the Togashi dataset). Dryad. Dryad. The World.</t>
  </si>
  <si>
    <t>Belmas, E., M. Briand, A. Kwasiborski, J. Colou, G. N’Guyen, B. Iacomi, P. Grappin, C. Campion, P. Simoneau, M. Barret and T. Guillemette (2018). "Genome Sequence of the Necrotrophic Plant Pathogen Alternaria brassicicola Abra43." Genome Announcements 6(6): 10.1128/genomea.01559-01517.</t>
  </si>
  <si>
    <t>Benassi, V. M., R. C. d. Lucas, J. A. Jorge and M. d. L. T. d. M. Polizeli (2014). "Screening of thermotolerant and thermophilic fungi aiming β-xylosidase and arabinanase production." Brazilian Journal of Microbiology 45: 1459-1467.</t>
  </si>
  <si>
    <t>Berardi, E. and F. Fatichenti (1988). "Temperature profile ofClavispora lusitaniae SS-43." Biotechnology Letters 10(11): 829-830.</t>
  </si>
  <si>
    <t>Berka, R. M., I. V. Grigoriev, R. Otillar, A. Salamov, J. Grimwood, I. Reid, N. Ishmael, T. John, C. Darmond, M.-C. Moisan, B. Henrissat, P. M. Coutinho, V. Lombard, D. O. Natvig, E. Lindquist, J. Schmutz, S. Lucas, P. Harris, J. Powlowski, A. Bellemare, D. Taylor, G. Butler, R. P. de Vries, I. E. Allijn, J. van den Brink, S. Ushinsky, R. Storms, A. J. Powell, I. T. Paulsen, L. D. H. Elbourne, S. E. Baker, J. Magnuson, S. LaBoissiere, A. J. Clutterbuck, D. Martinez, M. Wogulis, A. L. de Leon, M. W. Rey and A. Tsang (2011). "Comparative genomic analysis of the thermophilic biomass-degrading fungi Myceliophthora thermophila and Thielavia terrestris." Nature Biotechnology 29(10): 922-927.</t>
  </si>
  <si>
    <t>Bharti, A. K., A. Kumar, A. Kumar and D. Dutt (2018). "Exploitation of Parthenium hysterophorous biomass as low-cost substrate for cellulase and xylanase production under solid-state fermentation using Talaromyces stipitatus MTCC 12687." Journal of Radiation Research and Applied Sciences 11(4): 271-280.</t>
  </si>
  <si>
    <t>Białkowska, A. M., J. Krysiak, T. Florczak, K. M. Szulczewska, M. Wanarska and M. Turkiewicz (2018). "The psychrotrophic yeast Sporobolomyces roseus LOCK 1119 as a source of a highly active aspartic protease for the in vitro production of antioxidant peptides." Biotechnology and Applied Biochemistry 65(5): 726-738.</t>
  </si>
  <si>
    <t>Binder, M., A. Justo, R. Riley, A. Salamov, F. Lopez-Giraldez, E. Sjökvist, A. Copeland, B. Foster, H. Sun, E. Larsson, K.-H. Larsson, J. Townsend, I. V. Grigoriev and D. S. Hibbett (2013). "Phylogenetic and phylogenomic overview of the Polyporales." Mycologia 105(6): 1350-1373.</t>
  </si>
  <si>
    <t>Boddy, L. (1983). "Effect of temperature and water potential on growth rate of wood-rotting basidiomycetes." Transactions of the British Mycological Society 80(1): 141-149.</t>
  </si>
  <si>
    <t>Bonde, M. R., S. E. Nester and D. K. Berner (2012). "Effects of Daily Temperature Highs on Development of Phakopsora pachyrhizi on Soybean." Phytopathology® 102(8): 761-768.</t>
  </si>
  <si>
    <t>Brandam, C., C. Castro-Martínez, M.-L. Delia, F. Ramon-Portugal and P. Strehaiano (2008). "Effect of temperature on Brettanomyces bruxellensis: metabolic and kinetic aspects." Canadian journal of microbiology 54(1): 11-18.</t>
  </si>
  <si>
    <t>Brandt, S. C., H. Brognaro, A. Ali, B. Ellinger, K. Maibach, M. Rühl, C. Wrenger, H. Schlüter, W. Schäfer, C. Betzel, S. Janssen and M. Gand (2021). "Insights into the genome and secretome of Fusarium metavorans DSM105788 by cultivation on agro-residual biomass and synthetic nutrient sources." Biotechnology for Biofuels 14(1): 74.</t>
  </si>
  <si>
    <t>Brasier, C. M. and T. M. Stephens (1993). "Temperature-growth responses distinguish the OPC and OPH sibling species within ‘Ophiostoma piceae’." Mycological Research 97(12): 1416-1418.</t>
  </si>
  <si>
    <t>Brown, D. E., M. Hasan, M. Lepe-Casillas and A. J. Thornton (1990). "Effect of temperature and pH on lipid accumulation by Trichoderma reesei." Applied Microbiology and Biotechnology 34(3): 335-339.</t>
  </si>
  <si>
    <t>Burgain, A., M. Bensoussan and P. Dantigny (2015). "Validation of a predictive model for the growth of chalk yeasts on bread." International Journal of Food Microbiology 204: 47-54.</t>
  </si>
  <si>
    <t>Burkholder, P. and I. McVeigh (1940). "Growth of Phycomyces blakesleeanus in relation to varied environmental conditions." American Journal of Botany: 634-640.</t>
  </si>
  <si>
    <t>Burrage, S. W. (1970). "Environmental factors influencing the infection of wheat by Puccinia graminis." Annals of Applied Biology 66(3): 429-440.</t>
  </si>
  <si>
    <t>Bustan, A., Y. Ventura, V. Kagan-Zur and N. Roth-Bejerano (2006). "Optimized conditions for mycorrhiza formation between the pink rockrose (Cistus incanus) and the black Périgord truffle (Tuber melanosporum)." Israel Journal of Plant Sciences 54(2): 87-96.</t>
  </si>
  <si>
    <t>Campbell, L. J., D. P. Walsh, D. S. Blehert and J. M. Lorch (2019). "LONG-TERM SURVIVAL OF PSEUDOGYMNOASCUS DESTRUCTANS AT ELEVATED TEMPERATURES." Journal of Wildlife Diseases 56(2): 278-287.</t>
  </si>
  <si>
    <t>Campos-Esquivel, L., P. E. Hanson, E. Escudero-Leyva and P. Chaverri (2022). "Virulence of native isolates of entomopathogenic fungi (Hypocreales) against the “sweetpotato whitefly” Bemisia tabaci (Hemiptera: Aleyrodidae), including the effects of temperature and fungicides." Journal of Invertebrate Pathology 192: 107787.</t>
  </si>
  <si>
    <t>Cardoso, C. A. d. A., E. M. Reis and E. N. Moreira (2008). "Development of a warning system for wheat blast caused by Pyricularia grisea." Summa Phytopathologica 34: 216-221.</t>
  </si>
  <si>
    <t>Carr, E. C., Q. Barton, S. Grambo, M. Sullivan, C. M. Renfro, A. Kuo, J. Pangilinan, A. Lipzen, K. Keymanesh, E. Savage, K. Barry, I. V. Grigoriev, W. R. Riekhof and S. D. Harris (2023). "Characterization of a novel polyextremotolerant fungus, Exophiala viscosa, with insights into its melanin regulation and ecological niche." G3 Genes|Genomes|Genetics 13(8).</t>
  </si>
  <si>
    <t>Carro-Huerga, G., S. Mayo-Prieto, Á. Rodríguez-González, S. Álvarez-García, S. Gutiérrez and P. A. Casquero (2021). "The Influence of Temperature on the Growth, Sporulation, Colonization, and Survival of Trichoderma spp. in Grapevine Pruning Wounds." Agronomy 11(9): 1771.</t>
  </si>
  <si>
    <r>
      <t>Casagrande Pierantoni, D., L. Corte, A. Casadevall, V. Robert, G. Cardinali and C. Tascini (2021). "How does temperature trigger biofilm adhesion and growth in Candida albicans and two non</t>
    </r>
    <r>
      <rPr>
        <sz val="11"/>
        <color theme="1"/>
        <rFont val="Cambria Math"/>
        <family val="1"/>
      </rPr>
      <t>‐</t>
    </r>
    <r>
      <rPr>
        <sz val="11"/>
        <color theme="1"/>
        <rFont val="Aptos"/>
        <family val="2"/>
      </rPr>
      <t>Candida albicans Candida species?" Mycoses 64(11): 1412-1421.</t>
    </r>
  </si>
  <si>
    <t>Chadha, B. S., B. Kaur, N. Basotra, A. Tsang and A. Pandey (2019). "Thermostable xylanases from thermophilic fungi and bacteria: Current perspective." Bioresource Technology 277: 195-203.</t>
  </si>
  <si>
    <t>Chandrashekar, M. and W. Heather (1981). "Temperature sensitivity of reactions of Populus spp. to races of Melampsora larici-populina." Phytopathology 71(4): 421-424.</t>
  </si>
  <si>
    <t>Chaudhuri, H. (1923). "A Study of the Growth in Culture of Verticillium albo-atrum, B. et Br." Annals of Botany 37(147): 519-539.</t>
  </si>
  <si>
    <t>Chávez-Tinoco, M., L. F. García-Ortega and E. Mancera (2024). "Genetic modification of Candida maltosa, a non-pathogenic CTG species, reveals EFG1 function." Microbiology 170(3).</t>
  </si>
  <si>
    <t>Chen, C., C. H. Bock and B. W. Wood (2017). "Draft genome sequence of Venturia carpophila, the causal agent of peach scab." Standards in Genomic Sciences 12(1): 68.</t>
  </si>
  <si>
    <t>Chen, H., J. Wang, Q. Li, X. Xu, C. Niu, F. Zheng and C. Liu (2022). "Fed-Batch Fermentation of Saccharomyces pastorianus with High Ribonucleic Acid Yield." Foods 11(18): 2742.</t>
  </si>
  <si>
    <t>Chen, J., J. Wu, P. Zhang, C. Dong, N. M. Upadhyaya, Q. Zhou, P. Dodds and R. F. Park (2019). "De Novo Genome Assembly and Comparative Genomics of the Barley Leaf Rust Pathogen Puccinia hordei Identifies Candidates for Three Avirulence Genes." G3 Genes|Genomes|Genetics 9(10): 3263-3271.</t>
  </si>
  <si>
    <t>Chen, X.-F., C. Huang, X.-Y. Yang, L. Xiong, X.-D. Chen and L.-L. Ma (2013). "Evaluating the effect of medium composition and fermentation condition on the microbial oil production by Trichosporon cutaneum on corncob acid hydrolysate." Bioresource Technology 143: 18-24.</t>
  </si>
  <si>
    <t>Cheng, S., Y. Xu and X. Lan (2020). "Isolation, characterization, and application of biogenic amines-degrading strains from fermented food." Journal of Food Safety 40(1): e12716.</t>
  </si>
  <si>
    <t>Cheng YanHui, C. Y., C. Y. Cao YuanYin, Z. J. Zhang Jing and C. W. Chen WenShu (2011). "Optimization on the culture conditions of Ustilaginoidea virens (Cooke) Tak."</t>
  </si>
  <si>
    <t>Chibucos, M. C., S. Soliman, T. Gebremariam, H. Lee, S. Daugherty, J. Orvis, A. C. Shetty, J. Crabtree, T. H. Hazen, K. A. Etienne, P. Kumari, T. D. O’Connor, D. A. Rasko, S. G. Filler, C. M. Fraser, S. R. Lockhart, C. D. Skory, A. S. Ibrahim and V. M. Bruno (2016). "An integrated genomic and transcriptomic survey of mucormycosis-causing fungi." Nature Communications 7(1): 12218.</t>
  </si>
  <si>
    <t>Choo, J. H., C. P. Hong, J. Y. Lim, J.-A. Seo, Y.-S. Kim, D. W. Lee, S.-G. Park, G. W. Lee, E. Carroll, Y.-W. Lee and H. A. Kang (2016). "Whole-genome de novo sequencing, combined with RNA-Seq analysis, reveals unique genome and physiological features of the amylolytic yeast Saccharomycopsis fibuligera and its interspecies hybrid." Biotechnology for Biofuels 9(1): 246.</t>
  </si>
  <si>
    <t>Choque, E., C. Klopp, S. Valiere, J. Raynal and F. Mathieu (2018). "Whole-genome sequencing of Aspergillus tubingensis G131 and overview of its secondary metabolism potential." BMC Genomics 19(1): 200.</t>
  </si>
  <si>
    <t>Christova, P. K. and S. B. Slavov (2021). "Epicoccum nigrum-isolation, characterization and potential for biological control of Botrytis cinerea."</t>
  </si>
  <si>
    <t>Clarkson, J. P., L. Fawcett, S. G. Anthony and C. Young (2014). "A model for Sclerotinia sclerotiorum infection and disease development in lettuce, based on the effects of temperature, relative humidity and ascospore density." PLoS One 9(4): e94049.</t>
  </si>
  <si>
    <t>Čmoková, A., M. Kolařík, R. Dobiáš, L. L. Hoyer, H. Janouškovcová, R. Kano, I. Kuklová, P. Lysková, L. Machová, T. Maier, N. Mallátová, M. Man, K. Mencl, P. Nenoff, A. Peano, H. Prausová, D. Stubbe, S. Uhrlaß, T. Větrovský, C. Wiegand and V. Hubka (2020). "Resolving the taxonomy of emerging zoonotic pathogens in the Trichophyton benhamiae complex." Fungal Diversity 104(1): 333-387.</t>
  </si>
  <si>
    <t>Colhoun, J. (1973). "Effects of environmental factors on plant diseases." Annu. Rev. Phytopathol.;(United States) 11.</t>
  </si>
  <si>
    <t>Collins, C., T. M. Keane, D. J. Turner, G. O’Keeffe, D. A. Fitzpatrick and S. Doyle (2013). "Genomic and Proteomic Dissection of the Ubiquitous Plant Pathogen, Armillaria mellea: Toward a New Infection Model System." Journal of Proteome Research 12(6): 2552-2570.</t>
  </si>
  <si>
    <t>Concia, E., A. M. Azzini and M. Conti (2009). "Epidemiology Incidence and Risk Factors for Invasive Candidiasis in High-Risk Patients." Drugs 69(1): 5-14.</t>
  </si>
  <si>
    <t>Cordeiro, R. A., R. S. N. Brilhante, M. F. G. Rocha, M. A. B. Fechine, L. M. C. Camara, Z. P. Camargo and J. J. C. Sidrim (2006). "Phenotypic characterization and ecological features of Coccidioides spp. from Northeast Brazil." Medical Mycology 44(7): 631-639.</t>
  </si>
  <si>
    <t>Cross, D. and C. M. Kenerley (2004). "Modelling the growth of Trichoderma virens with limited sampling of digital images." Journal of Applied Microbiology 97(3): 486-494.</t>
  </si>
  <si>
    <t>Cruz, D. R., L. F. Leandro and G. P. Munkvold (2019). "Effects of temperature and pH on Fusarium oxysporum and soybean seedling disease." Plant disease 103(12): 3234-3243.</t>
  </si>
  <si>
    <t>da Silva, L. L., H. L. N. Correia, O. S. Gonçalves, P. M. P. Vidigal, R. O. Rosa, M. F. Santana and M. V. de Queiroz (2024). "What lies behind the large genome of Colletotrichum lindemuthianum." Frontiers in Fungal Biology 5.</t>
  </si>
  <si>
    <t>da Silveira, F. A., T. A. R. Fernandes, C. R. S. Bragança, T. R. Balbino, R. H. S. Diniz, F. M. L. Passos and W. B. da Silveira (2020). "Isolation of xylose-assimilating yeasts and optimization of xylitol production by a new Meyerozyma guilliermondii strain." International Microbiology 23(2): 325-334.</t>
  </si>
  <si>
    <t>De Hoog, G., A. S. Nishikaku, G. Fernandez-Zeppenfeldt, C. Padín-González, E. Burger, H. Badali, N. Richard-Yegres and A. van den Ende (2007). "Molecular analysis and pathogenicity of the Cladophialophora carrionii complex, with the description of a novel species." Studies in Mycology 58(1): 219-234.</t>
  </si>
  <si>
    <t>de Hoog, G. S., D. van Diepeningen Anne, E.-S. Mahgoub and W. J. van de Sande Wendy (2020). "New Species of Madurella, Causative Agents of Black-Grain Mycetoma." Journal of Clinical Microbiology 50(3): 988-994.</t>
  </si>
  <si>
    <t>de Hoog, G. S., V. A. Vicente, M. J. Najafzadeh, M. J. Harrak, H. Badali and S. Seyedmousavi (2011). "Waterborne Exophiala species causing disease in cold-blooded animals." Persoonia - Molecular Phylogeny and Evolution of Fungi 27(1): 46-72.</t>
  </si>
  <si>
    <t>de Vries, R. P., R. Riley, A. Wiebenga, G. Aguilar-Osorio, S. Amillis, C. A. Uchima, G. Anderluh, M. Asadollahi, M. Askin, K. Barry, E. Battaglia, Ö. Bayram, T. Benocci, S. A. Braus-Stromeyer, C. Caldana, D. Cánovas, G. C. Cerqueira, F. Chen, W. Chen, C. Choi, A. Clum, R. A. C. dos Santos, A. R. d. L. Damásio, G. Diallinas, T. Emri, E. Fekete, M. Flipphi, S. Freyberg, A. Gallo, C. Gournas, R. Habgood, M. Hainaut, M. L. Harispe, B. Henrissat, K. S. Hildén, R. Hope, A. Hossain, E. Karabika, L. Karaffa, Z. Karányi, N. Kraševec, A. Kuo, H. Kusch, K. LaButti, E. L. Lagendijk, A. Lapidus, A. Levasseur, E. Lindquist, A. Lipzen, A. F. Logrieco, A. MacCabe, M. R. Mäkelä, I. Malavazi, P. Melin, V. Meyer, N. Mielnichuk, M. Miskei, Á. P. Molnár, G. Mulé, C. Y. Ngan, M. Orejas, E. Orosz, J. P. Ouedraogo, K. M. Overkamp, H.-S. Park, G. Perrone, F. Piumi, P. J. Punt, A. F. J. Ram, A. Ramón, S. Rauscher, E. Record, D. M. Riaño-Pachón, V. Robert, J. Röhrig, R. Ruller, A. Salamov, N. S. Salih, R. A. Samson, E. Sándor, M. Sanguinetti, T. Schütze, K. Sepčić, E. Shelest, G. Sherlock, V. Sophianopoulou, F. M. Squina, H. Sun, A. Susca, R. B. Todd, A. Tsang, S. E. Unkles, N. van de Wiele, D. van Rossen-Uffink, J. V. d. C. Oliveira, T. C. Vesth, J. Visser, J.-H. Yu, M. Zhou, M. R. Andersen, D. B. Archer, S. E. Baker, I. Benoit, A. A. Brakhage, G. H. Braus, R. Fischer, J. C. Frisvad, G. H. Goldman, J. Houbraken, B. Oakley, I. Pócsi, C. Scazzocchio, B. Seiboth, P. A. vanKuyk, J. Wortman, P. S. Dyer and I. V. Grigoriev (2017). "Comparative genomics reveals high biological diversity and specific adaptations in the industrially and medically important fungal genus Aspergillus." Genome Biology 18(1): 28.</t>
  </si>
  <si>
    <t>Deak, T. environmental factors influencing yeasts. Biodiversity and Ecophysiology of Yeasts. C. Rosa and G. Péter. Heidelberg, Germany, Springer-Verlag: 155 - 174.</t>
  </si>
  <si>
    <t>Deploey, J. J. (1990). The Effects of Temperature, Nutrients, and Spore Concentration on the Germination of Conidia from Dactylomyces thermophilus. Biodeterioration Research: Mycotoxins, Biotoxins, Wood Decay, Air Quality, Cultural Properties, General Biodeterioration, and Degradation. G. C. Llewellyn and C. E. O’Rear. Boston, MA, Springer US: 617-626.</t>
  </si>
  <si>
    <t>Derevnina, L., S. Chin-Wo-Reyes, F. Martin, K. Wood, L. Froenicke, O. Spring and R. Michelmore (2015). "Genome Sequence and Architecture of the Tobacco Downy Mildew Pathogen Peronospora tabacina." Molecular Plant-Microbe Interactions® 28(11): 1198-1215.</t>
  </si>
  <si>
    <t>Derić, M., J. Latinović, A. Odalović and N. Latinović (2019). "Influence of temperature and light conditions to colony growth of brown rot fungi of stone fruits in Montenegro." Agriculture &amp; Forestry/Poljoprivreda i Sumarstvo 65(3).</t>
  </si>
  <si>
    <t>Deshaware, S., S. J. Marathe, D. Bedade, J. Deska and S. Shamekh (2021). "Investigation on mycelial growth requirements of Cantharellus cibarius under laboratory conditions." Archives of Microbiology 203(4): 1539-1545.</t>
  </si>
  <si>
    <t>Desprez-Loustau, M.-L., V. Belrose, M. Bergot, G. Capron, E. Cloppet, C. Husson and D. Piou (2010). "Simulating the effects of climate change on geographical distribution and impact of forest pathogenic fungi." Forests, Carbon Cycle and Climate Change: 253.</t>
  </si>
  <si>
    <t>Devi, R. and N. Singh (1994). "Effect of temperature and light on growth and sporulation of Fusarium rice sheath rot."</t>
  </si>
  <si>
    <t>Dhakar, K., R. Jain, S. Tamta and A. Pandey (2014). "Prolonged Laccase Production by a Cold and pH Tolerant Strain of Penicillium pinophilum (MCC 1049) Isolated from a Low Temperature Environment." Enzyme Research 2014(1): 120708.</t>
  </si>
  <si>
    <t>Domir, S. C., L. R. Schreiber and J. M. Ichida (1991). "Factors Affecting Growth of Ophiostoma ulmi on Elm Callus Tissue." Journal of Environmental Horticulture 9(4): 211-215.</t>
  </si>
  <si>
    <t>Dong, C. H. and Y. J. Yao (2011). "On the reliability of fungal materials used in studies on Ophiocordyceps sinensis." Journal of Industrial Microbiology and Biotechnology 38(8): 1027-1035.</t>
  </si>
  <si>
    <t>Doran, W. L. (1922). "Effect of external and internal factors on the germination of fungous spores." Bulletin of the Torrey Botanical Club: 313-340.</t>
  </si>
  <si>
    <t>Du, M., W. Hu, T. Tamura, M. M. Alshahni, K. Satoh, C. Yamanishi, T. Naito and K. Makimura (2021). "Investigation of the physiological, biochemical and antifungal susceptibility properties of Candida auris." Mycopathologia 186: 189-198.</t>
  </si>
  <si>
    <t>du Preez, J. C., M. Bosch and B. A. Prior (1986). "Xylose fermentation by Candida shehatae and Pichia stipitis: effects of pH, temperature and substrate concentration." Enzyme and Microbial Technology 8(6): 360-364.</t>
  </si>
  <si>
    <t>Dubrulle, G., F. Pensec, A. Picot, K. Rigalma, A. Pawtowski, S. Nicolleau, N. Harzic, P. Nodet, R. Baroncelli and G. Le Floch (2020). "Phylogenetic Diversity and Effect of Temperature on Pathogenicity of Colletotrichum lupini." Plant Disease 104(3): 938-950.</t>
  </si>
  <si>
    <t>Dukik, K., J. F. Muñoz, Y. Jiang, P. Feng, L. Sigler, J. B. Stielow, J. Freeke, A. Jamalian, B. Gerrits van den Ende, J. G. McEwen, O. K. Clay, I. S. Schwartz, N. P. Govender, T. G. Maphanga, C. A. Cuomo, L. F. Moreno, C. Kenyon, A. M. Borman and S. de Hoog (2017). "Novel taxa of thermally dimorphic systemic pathogens in the Ajellomycetaceae (Onygenales)." Mycoses 60(5): 296-309.</t>
  </si>
  <si>
    <t>Duncan, S. M., R. L. Farrell, J. M. Thwaites, B. W. Held, B. E. Arenz, J. A. Jurgens and R. A. Blanchette (2006). "Endoglucanase-producing fungi isolated from Cape Evans historic expedition hut on Ross Island, Antarctica." Environmental Microbiology 8(7): 1212-1219.</t>
  </si>
  <si>
    <t>Dvorianinova, E. M., E. A. Sigova, T. D. Mollaev, T. A. Rozhmina, L. P. Kudryavtseva, R. O. Novakovskiy, A. A. Turba, D. A. Zhernova, E. V. Borkhert, E. N. Pushkova, N. V. Melnikova and A. A. Dmitriev (2024). "Comparative Genomic Analysis of Colletotrichum lini Strains with Different Virulence on Flax." Journal of Fungi 10(1): 32.</t>
  </si>
  <si>
    <t>Edgington, S., L. C. Priyanthie Fernando and K. Jones (2008). "Natural incidence and environmental profiling of the mite-pathogenic fungus Hirsutella thompsonii Fisher for control of the coconut mite in Sri Lanka." International Journal of Pest Management 54(2): 123-127.</t>
  </si>
  <si>
    <t>Egeberg, R. O., A. E. Elconin and M. C. Egeberg (1964). "Effect of salinity and temperature on Coccidioides immitis and three antagonistic soil saprophytes." Journal of bacteriology 88(2): 473-476.</t>
  </si>
  <si>
    <t>Eichmeier, A., D.-L. Emilia, E. Hakalova, J. Pecenka, K. Stuskova, S. Ojeda and D. Gramaje (2022). "Draft genome sequence of Phyllosticta ampelicida, the cause of grapevine black rot." Phytopathologia Mediterranea 61(2): 279-282.</t>
  </si>
  <si>
    <t>Ekendahl, S., A. H. O’Neill, E. Thomsson and K. Pedersen (2003). "Characterisation of Yeasts Isolated from Deep Igneous Rock Aquifers of the Fennoscandian Shield." Microbial Ecology 46(4): 416-428.</t>
  </si>
  <si>
    <t>Ekesi, S., N. K. Maniania and K. Ampong-Nyarko (1999). "Effect of Temperature on Germination, Radial Growth and Virulence of Metarhizium anisopliae and Beauveria bassiana on Megalurothrips sjostedti." Biocontrol Science and Technology 9(2): 177-185.</t>
  </si>
  <si>
    <t>El-Gali, Z. I. (2017). "Effect of some ecological factors on growth of Pestalotiopsis spp. isolated from mastic shrubs leaves." Journal of Advanced Botany and Zoology 5(3): 1-5.</t>
  </si>
  <si>
    <t>Elvira-Recuenco, M., V. Pando, M. Berbegal, A. Manzano Muñoz, E. Iturritxa and R. Raposo (2021). "Influence of temperature and moisture duration on pathogenic life history traits of predominant haplotypes of Fusarium circinatum on Pinus spp. in Spain." Phytopathology® 111(11): 2002-2009.</t>
  </si>
  <si>
    <t>Emelyanova, E. V. (2005). "Effects of cultivation conditions on the growth of the basidiomycete Coriolus hirsutus in a medium with pentose wood hydrolyzate." Process Biochemistry 40(3): 1119-1124.</t>
  </si>
  <si>
    <t>Ernst, M., K. Neubert, K. W. Mendgen and S. G. R. Wirsel (2011). "Niche differentiation of two sympatric species of Microdochium colonizing the roots of common reed." BMC Microbiology 11(1): 242.</t>
  </si>
  <si>
    <t>Erxun, Z., Y. Mei, Z. Hua and L. Zizhu (2002). "Factors affecting the mycelial growth, sporulation and conidial germination of Colletotrichum higginsianum Sacc." Journal of Nanjing Agricultural University 25(2): 47-51.</t>
  </si>
  <si>
    <t>Evans, H. C. (2016). Frosty pod rot (Moniliophthora roreri). Cacao Diseases: A History of Old Enemies and New Encounters. B. A. Bailey and L. W. Meinhardt. Heidelberg, Germany, Springer: 63-96.</t>
  </si>
  <si>
    <t>Famurewa, O. and P. O. Olutiola (1991). "Comparison of growth and cellulolytic enzyme production inAspergillus chevalieri andPenicillium steckii from mouldy cacao beans." Folia Microbiologica 36(4): 347-352.</t>
  </si>
  <si>
    <t>Fan, H., Y. Li, S. Chachar, Y. Yang and C. Guan (2022). "Genome Sequence Resource of Colletotrichum horii, an Important Pathogenic Fungus Threatening Persimmon Production." Plant Disease 106(3): 1052-1055.</t>
  </si>
  <si>
    <t>Farias, G. S., J. A. Santos, P. Giovanella and L. D. Sette (2022). "Antarctic-derived yeasts: taxonomic identification and resistance to adverse conditions." Anais da Academia Brasileira de Ciências 94: e20210592.</t>
  </si>
  <si>
    <t>Fell, J. W. and S. A. Meyer (1967). "Systematics of yeast species in the Candida parapsilosis group." Mycopathologia et mycologia applicata 32(3): 177-193.</t>
  </si>
  <si>
    <t>Feng, L., Z. Anwaier, L. Kemei and T. Biyahong (2024a). "Identification of new pathogens of alfalfa anthracnose (Colletotrichum liriopes) and preliminary study on biological characteristics." Xinjiang Agricultural Sciences 61(3): 690.</t>
  </si>
  <si>
    <t>Feng, R., H. Wang, X. Zhang, T. Li, C. Huang, S. Zhang, M. Sun, C. Shi, J. Hu and J. Gou (2024b). "Characteristics of Corynespora cassiicola, the causal agent of tobacco Corynespora leaf spot, revealed by genomic and metabolic phenomic analysis." Scientific Reports 14(1): 18326.</t>
  </si>
  <si>
    <t>Feng, Z., Y. Li, X. Ma, Y. Duan, R. Zhang, T. Hsiang, Y. Niu and G. Sun (2022). "Draft Genome Sequence of Alternaria longipes Causing Tobacco Brown Spot." Plant Disease 106(2): 734-736.</t>
  </si>
  <si>
    <t>Figueredo, H. M., V. N. Gonçalves, V. M. Godinho, D. V. Lopes, F. S. Oliveira and L. H. Rosa (2020). "Diversity and ecology of cultivable fungi isolated from the thermal soil gradients in Deception Island, Antarctica." Extremophiles 24(2): 219-225.</t>
  </si>
  <si>
    <t>Finotti, E., D. Moretto, R. Marsella and R. Mercantini (1993). "Temperature effects and fatty acid patterns in Geomyces species isolated from Antarctic soil." Polar Biology 13(2): 127-130.</t>
  </si>
  <si>
    <t>Firdaus-Raih, M., N. H. F. Hashim, I. Bharudin, M. F. Abu Bakar, K. K. Huang, H. Alias, B. K. Lee, M. N. Mat Isa, S. Mat-Sharani and S. Sulaiman (2018). "The Glaciozyma antarctica genome reveals an array of systems that provide sustained responses towards temperature variations in a persistently cold habitat." PLoS One 13(1): e0189947.</t>
  </si>
  <si>
    <t>Freel, K. C., G. Charron, J.-B. Leducq, C. R. Landry and J. Schacherer (2015). "Lachancea quebecensis sp. nov., a yeast species consistently isolated from tree bark in the Canadian province of Québec." International Journal of Systematic and Evolutionary Microbiology 65(Pt_10): 3392-3399.</t>
  </si>
  <si>
    <t>Fujikawa, T., J.-i. Ishihara, F. Vincent Warwick, M. Uchida and M. Tsuji (2024). "Draft genome sequence of the basidiomycetous yeast Mrakia hoshinonis JCM 32575T isolated from Ellesmere Island, Canadian High Arctic." Microbiology Resource Announcements 13(2): e00820-00823.</t>
  </si>
  <si>
    <t>Furlan, S. A., L. J. Virmond, D. A. Miers, M. Bonatti, R. M. M. Gern and R. Jonas (1997). "Mushroom strains able to grow at high temperatures and low pH values." World Journal of Microbiology and Biotechnology 13(6): 689-692.</t>
  </si>
  <si>
    <t>Furukawa, T., K. Ushiyama and K. Kishi (2005). "Botrytis blight of Taiwanese toad lily caused by Botrytis elliptica (Berkeley) Cooke." Journal of General Plant Pathology 71(1): 95-97.</t>
  </si>
  <si>
    <t>Gañán, L., R. A. White, M. L. Friesen, T. L. Peever and A. Amiri (2020). "A Genome Resource for the Apple Powdery Mildew Pathogen Podosphaera leucotricha." Phytopathology® 110(11): 1756-1758.</t>
  </si>
  <si>
    <t>Garcia, J. F., D. P. Lawrence, A. Morales-Cruz, R. Travadon, A. Minio, R. Hernandez-Martinez, P. E. Rolshausen, K. Baumgartner and D. Cantu (2021). "Phylogenomics of Plant-Associated Botryosphaeriaceae Species." Frontiers in Microbiology 12.</t>
  </si>
  <si>
    <t>Garfinkel, A. R., K. P. Coats, D. L. Sherry and G. A. Chastagner (2019). "Genetic analysis reveals unprecedented diversity of a globally-important plant pathogenic genus." Scientific Reports 9(1): 6671.</t>
  </si>
  <si>
    <t>Garibaldi, A. and B. Aloj (1980). Observations on biology and control of Uromyces transversalis (Thum) Winter on Gladiolus in Southern Italy. III International Symposium on Flower Bulbs 109, Nyborg, Denmark ISHS.</t>
  </si>
  <si>
    <t>Gazzetti, K., E. L. Diaconu, I. M. Nanni, A. Ciriani and M. Collina (2019). "Genome Sequence Resource for Stemphylium vesicarium, Causing Brown Spot Disease of Pear." Molecular Plant-Microbe Interactions® 32(8): 935-938.</t>
  </si>
  <si>
    <t>Gezgin, Y., D. M. Gül, S. S. Şenşatar, C. U. Kara, S. Sargın, F. V. Sukan and R. Eltem (2020). "Evaluation ofTrichoderma atroviride and Trichoderma citrinoviride growth profiles and their potentials as biocontrol agent and biofertilizer." Turkish Journal of Biochemistry 45(2): 163-175.</t>
  </si>
  <si>
    <t>Ghanbarnia, K., W. Dilantha Fernando and G. Crow (2009). "Developing rainfall-and temperature-based models to describe infection of canola under field conditions caused by pycnidiospores of Leptosphaeria maculans." Phytopathology 99(7): 879-886.</t>
  </si>
  <si>
    <t>Gilbert, F. A. (1960). "The submerged culture of Morchella." Mycologia 52(2): 201-209.</t>
  </si>
  <si>
    <t>Gilles, T. and R. Kennedy (2003). "Effects of an Interaction Between Inoculum Density and Temperature on Germination of Puccinia allii Urediniospores and Leek Rust Progress." Phytopathology® 93(4): 413-420.</t>
  </si>
  <si>
    <t>Giraldo, A., J. Gené, D. A. Sutton, H. Madrid, G. S. de Hoog, J. Cano, C. Decock, P. W. Crous and J. Guarro (2015). "Phylogeny of Sarocladium (Hypocreales)." Persoonia - Molecular Phylogeny and Evolution of Fungi 34(1): 10-24.</t>
  </si>
  <si>
    <t>Glässnerová, K., F. Sklenář, Ž. Jurjević, J. Houbraken, T. Yaguchi, C. M. Visagie, J. Gené, J. P. Z. Siqueira, A. Kubátová, M. Kolařík and V. Hubka (2022). "A monograph of Aspergillus section Candidi." Studies in Mycology 102(1): 1-51.</t>
  </si>
  <si>
    <t>Gleason, F. H. and P. A. McGee (2008). "Chytrids cannot survive at high temperatures in liquid growth media: implications for soil ecosystems." Fungal Ecology 1(2): 99-101.</t>
  </si>
  <si>
    <t>Gock, M. A., A. D. Hocking, J. I. Pitt and P. G. Poulos (2003). "Influence of temperature, water activity and pH on growth of some xerophilic fungi." International Journal of Food Microbiology 81(1): 11-19.</t>
  </si>
  <si>
    <t>Gomi, K. (2014). ASPERGILLUS | Aspergillus oryzae. Encyclopedia of Food Microbiology (Second Edition). C. A. Batt and M. L. Tortorello. Oxford, Academic Press: 92-96.</t>
  </si>
  <si>
    <t>Gong, W., Y. Wang, C. Xie, Y. Zhou, Z. Zhu and Y. Peng (2020). "Whole genome sequence of an edible and medicinal mushroom, Hericium erinaceus (Basidiomycota, Fungi)." Genomics 112(3): 2393-2399.</t>
  </si>
  <si>
    <t>Goordial, J., I. Raymond-Bouchard, R. Riley, J. Ronholm, N. Shapiro, T. Woyke, M. LaButti Kurt, H. Tice, M. Amirebrahimi, V. Grigoriev Igor, C. Greer, C. Bakermans and L. Whyte (2016). "Improved High-Quality Draft Genome Sequence of the Eurypsychrophile Rhodotorula sp. JG1b, Isolated from Permafrost in the Hyperarid Upper-Elevation McMurdo Dry Valleys, Antarctica." Genome Announcements 4(2): 10.1128/genomea.00069-00016.</t>
  </si>
  <si>
    <t>Gottlieb, D. (1950). "The physiology of spore germination in fungi." The Botanical Review 16(5): 229-257.</t>
  </si>
  <si>
    <t>Govindaraju, C., S. Patil, K. Chandrasekar, S. Ganesh, G. Kulasekaran, S. Chemate and M. Balamurugan (2020). "Cerebral phaeohyphomycosis: Importance of early diagnosis and management." Indonesian Journal of Neurosurgery 3(1).</t>
  </si>
  <si>
    <t>Grosch, R. and A. Kofoet (2003). "Influence of temperature, pH and inoculum density on bottom rot on lettuce caused by Rhizoctonia solani/Einfluss von Temperatur, pH und Inokulumdichte auf die Salatfäule verursacht durch Rhizoctonia solani." Zeitschrift für Pflanzenkrankheiten und Pflanzenschutz/Journal of Plant Diseases and Protection: 366-378.</t>
  </si>
  <si>
    <t>Guillot, J. and R. Bond (1999). "Malassezia pachydermatis: a review." Medical Mycology 37(5): 295-306.</t>
  </si>
  <si>
    <t>Guo, X., G. Wang, J. Gong and D. Xiao (2008). "Comparisons of culture conditions and peptide toxins in three Amanita species." Mycosystema 27(5): 745-756.</t>
  </si>
  <si>
    <t>Gupta, V. and A. Sharma (2013). "Assessment of optimum temperature of Trichoderma harzianum by monitoring radial growth and population dynamics in different compost manures under different temperature." Octa journal of biosciences 1(2).</t>
  </si>
  <si>
    <t>Haase, M. A. B., J. Kominek, Q. K. Langdon, C. P. Kurtzman and C. T. Hittinger (2017). "Genome sequence and physiological analysis of Yamadazyma laniorum f.a. sp. nov. and a reevaluation of the apocryphal xylose fermentation of its sister species, Candida tenuis." FEMS Yeast Research 17(3): fox019.</t>
  </si>
  <si>
    <t>Hacskaylo, E., J. G. Palmer and J. Vozzo (1965). "Effect of temperature on growth and respiration of ectotrophic mycorrhizal fungi." Mycologia 57(5): 748-756.</t>
  </si>
  <si>
    <t>Hallsworth, J. E. and N. Magan (1999). "Water and Temperature Relations of Growth of the Entomogenous Fungi Beauveria bassiana, Metarhizium anisopliae, and Paecilomyces farinosus." Journal of Invertebrate Pathology 74(3): 261-266.</t>
  </si>
  <si>
    <t>Hamzah, A., M. A. Zarin, A. A. Hamid, O. Omar and S. Senafi (2012). "Optimal physical and nutrient parameters for growth of Trichoderma virens UKMP-1M for heavy crude oil degradation." Sains Malaysiana 41(1): 71-79.</t>
  </si>
  <si>
    <t>Han, B.-Z. and R. M. J. Nout (2000). "Effects of temperature, water activity and gas atmosphere on mycelial growth of tempe fungi Rhizopus microsporus var. microsporus and R. microsporus var. oligosporus." World Journal of Microbiology and Biotechnology 16(8): 853-858.</t>
  </si>
  <si>
    <t>Han, Y. C., X. G. Zeng, F. Y. Xiang, L. Ren, F. Y. Chen and Y. C. Gu (2016). "Distribution and Characteristics of Colletotrichum spp. Associated with Anthracnose of Strawberry in Hubei, China." Plant Disease 100(5): 996-1006.</t>
  </si>
  <si>
    <t>Hansali, K., Z.-R. Zhang, G.-L. Liu, Z. Chi and Z.-M. Chi (2023). "The Pathogenic Yeast Metschnikowia bicuspidata var. bicuspidata in the Aquacultured Ecosystem and Its Biocontrol." Journal of Fungi 9(10): 1024.</t>
  </si>
  <si>
    <t>Hassan, F. and G. M. Medany (2012). "Studies on submerged culture conditions for mycelial biomass production of wood ears mushroom (Auricularia polytricha)." Middle East Journal of Agriculture Research 1(1): 33-39.</t>
  </si>
  <si>
    <t>He, J., Z. Yang, B. Hu, X. Ji, Y. Wei, L. Lin and Q. Zhang (2015). "Correlation of polyunsaturated fatty acids with the cold adaptation of Rhodotorula glutinis." Yeast 32(11): 683-690.</t>
  </si>
  <si>
    <t>Heath, L. A. F. and H. O. W. Eggins (1965). "Effects of light, temperature and nutrients on the production of conidia and sclerotia by forms ofAspergillus japonicus." Experientia 21(7): 385-386.</t>
  </si>
  <si>
    <t>Hebly, M., A. Brickwedde, I. Bolat, M. R. M. Driessen, E. A. F. de Hulster, M. van den Broek, J. T. Pronk, J.-M. Geertman, J.-M. Daran and P. Daran-Lapujade (2015). "S. cerevisiae × S. eubayanus interspecific hybrid, the best of both worlds and beyond." FEMS Yeast Research 15(3).</t>
  </si>
  <si>
    <t>Helston, R. M., J. A. Box, W. Tang and P. Baumann (2010). "Schizosaccharomyces cryophilus sp. nov., a new species of fission yeast." FEMS Yeast Research 10(6): 779-786.</t>
  </si>
  <si>
    <t>Hempherson-Jones, F. M. and K. Phelps (1989). "Climatic factors influencing spore production in Alternaria brassicae and Alternaria brassicicola." Annals of Applied Biology 114(3): 449-458.</t>
  </si>
  <si>
    <t>Hess, O. C. J., T. van der Deure, M. Bolander, C. A. Leal Dutra and J. Z. Shik (2024). "The evolution of thermal performance curves in fungi farmed by attine ant mutualists in above-ground or below-ground microclimates." Journal of Evolutionary Biology 38(1): 83-93.</t>
  </si>
  <si>
    <t>Hiratsuka, N. (1934). "Physiological Studies on Uromyces Fabae, f. sp. Viciae-Fabae." Shokubutsugaku Zasshi 48(569): 309-325.</t>
  </si>
  <si>
    <t>Hiscox, J., G. Clarkson, M. Savoury, G. Powell, I. Savva, M. Lloyd, J. Shipcott, A. Choimes, X. Amargant Cumbriu and L. Boddy (2016). "Effects of pre-colonisation and temperature on interspecific fungal interactions in wood." Fungal Ecology 21: 32-42.</t>
  </si>
  <si>
    <t>Hoffmann, K., S. Discher and K. Voigt (2007). "Revision of the genus Absidia (Mucorales, Zygomycetes) based on physiological, phylogenetic, and morphological characters; thermotolerant Absidia spp. form a coherent group, Mycocladiaceae fam. nov." Mycological Research 111(10): 1169-1183.</t>
  </si>
  <si>
    <t>Hongchao, S., F. Yuan, M. Wei and S. Tuanyuan (2022). "Genome sequencing and comparative analysis of the gastrointestinal yeast Cyniclomyces guttulatus isolated from rabbit." Mycosystema 41(2).</t>
  </si>
  <si>
    <r>
      <t xml:space="preserve">Hou, Z., R. Yao, Y. Cheng, Q. He, S. Qi, Z. Wang and Z. Xu (2015). "Preliminary study on the biological characteristics of Lactarius volemus mycelia." </t>
    </r>
    <r>
      <rPr>
        <sz val="11"/>
        <color theme="1"/>
        <rFont val="MS Gothic"/>
        <family val="3"/>
      </rPr>
      <t>食用菌学</t>
    </r>
    <r>
      <rPr>
        <sz val="11"/>
        <color theme="1"/>
        <rFont val="Microsoft JhengHei"/>
        <family val="2"/>
      </rPr>
      <t>报</t>
    </r>
    <r>
      <rPr>
        <sz val="11"/>
        <color theme="1"/>
        <rFont val="Aptos"/>
        <family val="2"/>
      </rPr>
      <t xml:space="preserve"> (Journal of Edible Fungi) 22(34 - 37).</t>
    </r>
  </si>
  <si>
    <t>Howell, A. (1940). "Studies on Histoplasma capsulatum and Similar Form-Species. II. Effect of Temperature." Mycologia 32(5): 671-680.</t>
  </si>
  <si>
    <t>Huang, L., X. Zhang, Y. Yang, H. Zou, B. Fang and W. Liu (2021). "High-Quality Genome Resource of Diaporthe destruens Causing Foot Rot Disease of Sweet Potato." Plant Disease 105(10): 3279-3281.</t>
  </si>
  <si>
    <t>Huang, L. P., B. Jin, P. Lant and J. Zhou (2005). "Simultaneous saccharification and fermentation of potato starch wastewater to lactic acid by Rhizopus oryzae and Rhizopus arrhizus." Biochemical Engineering Journal 23(3): 265-276.</t>
  </si>
  <si>
    <t>Huang, M., Z. Ma and X. Zhou (2020a). "Comparative Genomic Data Provide New Insight on the Evolution of Pathogenicity in Sporothrix Species." Frontiers in Microbiology 11.</t>
  </si>
  <si>
    <t>Huang, W.-P., Y.-J. Du, Y. Yang, J.-N. He, Q. Lei, X.-Y. Yang, K.-Q. Zhang and X.-M. Niu (2020b). "Two CRISPR/Cas9 Systems Developed in Thermomyces dupontii and Characterization of Key Gene Functions in Thermolide Biosynthesis and Fungal Adaptation." Applied and Environmental Microbiology 86(20): e01486-01420.</t>
  </si>
  <si>
    <t>Huang, X. and S. Nie (2015). "The structure of mushroom polysaccharides and their beneficial role in health." Food &amp; Function 6(10): 3205-3217.</t>
  </si>
  <si>
    <t>Hýsek, J., R. Vavera and P. Růžek (2019). "Cultivation Intensity in Combination with Other Ecological Factors as Limiting Ones for the Abundance of Phytopathogenic Fungi on Wheat." Microbial Ecology 78(3): 565-574.</t>
  </si>
  <si>
    <t>Ianutsevich, E. A., O. A. Danilova, O. A. Grum-Grzhimaylo and V. M. Tereshina (2023). "The Role of Osmolytes and Membrane Lipids in the Adaptation of Acidophilic Fungi." Microorganisms 11(7): 1733.</t>
  </si>
  <si>
    <t>Imtiaj, A., C. Jayasinghe, G. W. Lee, H. Y. Kim, M. J. Shim, H.-S. Rho, H. S. Lee, H. Hur, M. W. Lee and U.-Y. Lee (2008). "Physicochemical requirement for the vegetative growth of Schizophyllum commune collected from different ecological origins." Mycobiology 36(1): 34-39.</t>
  </si>
  <si>
    <t>Imtiaj, A., C. Jayasinghe, G. W. Lee and T.-S. Lee (2009). "Comparative study of environmental and nutritional factors on the mycelial growth of edible mushrooms." Journal of Culture collections 6(1): 97-105.</t>
  </si>
  <si>
    <t>Infantino, A., M. Zaccardelli, C. Costa, H. Ozkilinc, A. Habibi and T. Peever (2016). "A new disease of grasspea (Lathyrus sativus) caused by Ascochyta lentis var. lathyri." Journal of Plant Pathology: 541-548.</t>
  </si>
  <si>
    <t>Ito, T., A. Nakagiri, M. Tanticharoen and L. Manoch (2001). "Mycobiota of mangrove forest soil in Thailand." IFO Research Communications 20: 50-60.</t>
  </si>
  <si>
    <t>James, S. A., A. Parker, C. Purse, A. Telatin, D. Baker, R. Evans, S. Holmes, S. G. P. Funnell and S. R. Carding (2023). "Draft Genome Sequence of a Primate Isolate of Kazachstania pintolopesii." Mycopathologia 188(5): 821-823.</t>
  </si>
  <si>
    <t>Jeon, S.-M. and K.-H. Ka (2014). "Mycelial growth and extracellular enzyme activities of wood-decaying mushroom strains on solid media." The Korean Journal of Mycology 42(1): 40-49.</t>
  </si>
  <si>
    <t>Jeon, S.-M., M.-S. Kim and K.-H. Ka (2012). "Effects of medium, temperature and pH on mycelial growth and cellulase activity of ectomycorrhizal fungi from Korean forests." The Korean Journal of Mycology 40(4): 191-203.</t>
  </si>
  <si>
    <t>Jermini, M. F. G. and W. Schmidt-Lorenz (1987). "Cardinal Temperatures for Growth of Osmotolerant Yeasts in Broths at Different Water Activity Values." Journal of Food Protection 50(6): 473-478.</t>
  </si>
  <si>
    <t>Jiang, Y., K. Dukik, J. F. Muñoz, L. Sigler, I. S. Schwartz, N. P. Govender, C. Kenyon, P. Feng, B. G. van den Ende, J. B. Stielow, A. M. Stchigel, H. Lu and S. de Hoog (2018). "Phylogeny, ecology and taxonomy of systemic pathogens and their relatives in Ajellomycetaceae (Onygenales): Blastomyces, Emergomyces, Emmonsia, Emmonsiellopsis." Fungal Diversity 90(1): 245-291.</t>
  </si>
  <si>
    <t>Jiang, Z.-R., H. Masuya and H. Kajimura (2022). "Fungal Flora in Adult Females of the Rearing Population of Ambrosia Beetle Euwallacea interjectus (Blandford) (Coleoptera: Curculionidae: Scolytinae): Does It Differ from the Wild Population?" Diversity 14(7): 535.</t>
  </si>
  <si>
    <t>Jiaojiao, Z., W. Fen, L. Kuanbo, L. Qing, Y. Ying and D. Caihong (2018). "Heat and light stresses affect metabolite production in the fruit body of the medicinal mushroom Cordyceps militaris." Applied Microbiology and Biotechnology 102(10): 4523-4533.</t>
  </si>
  <si>
    <t>Jo, W.-S., D.-G. Kim, S.-J. Seok, H.-Y. Jung and S.-C. Park (2014). "The culture conditions for the mycelial growth of Auricularia auricula-judae." Journal of Mushroom 12(2): 88-95.</t>
  </si>
  <si>
    <t>Johnstone, K. I. and C. J. La Touche (1956). "Cultural characteristics of dysgonic strains of Microsporum canis bodin." Transactions of the British Mycological Society 39(4): 442-IN444.</t>
  </si>
  <si>
    <t>Joo, J. H., J. M. Lim, H. O. Kim, S. W. Kim, H. J. Hwang, J. W. Choi and J. W. Yun (2004). "Optimization of submerged culture conditions for exopolysaccharide production in Sarcodon aspratus (Berk) S.lto TG-3." World Journal of Microbiology and Biotechnology 20(7): 767-773.</t>
  </si>
  <si>
    <t>Kadhim, S. K., J. K. Al-Janabi and A. H. Al-Hamadani (2015). "In vitro, determination of optimal conditions of growth and proteolytic activity of clinical isolates of Trichophyton rubrum." Journal of contemporary medical sciences 1(03).</t>
  </si>
  <si>
    <t>Kadooka, C., K. Mori, K. Okutsu, Y. Yoshizaki, K. Takamine, K. Tashiro, H. Tamaki and T. Futagami (2021). "Chromosome-Level Genome Sequence of Aspergillus chevalieri M1, Isolated from Katsuobushi." Microbiology Resource Announcements 10(37): 10.1128/mra.00385-00321.</t>
  </si>
  <si>
    <t>Kalaw, S., D. Alfonso, R. Dulay, A. De Leon, J. Undan, J. Undan and R. Reyes (2016). "Optimization of culture conditions for secondary mycelial growth of wild macrofungi from selected areas in Central Luzon, Philippines." Current research in environmental &amp; applied mycology 6(4): 277-287.</t>
  </si>
  <si>
    <t>Kamga, S. F., F. T. Ndjomatchoua, R. A. Guimapi, I. Klingen, C. Tchawoua, A.-G. R. Hjelkrem, K. H. Thunes and F. M. Kakmeni (2022). "The effect of climate variability in the efficacy of the entomopathogenic fungus Metarhizium acridum against the desert locust Schistocerca gregaria." Scientific Reports 12(1): 7535.</t>
  </si>
  <si>
    <t>Kaminskyj, S. G. (2001). "Fundamentals of growth, storage, genetics and microscopy of Aspergillus nidulans." Fungal Genetics Reports 48(1): 25-31.</t>
  </si>
  <si>
    <t>Kancherla, R. P., M. B. Durling, J. Stenlid and N. Högberg (2017). "Draft genome of the brown-rot fungus Fomitopsis pinicola GR9-4." Data in brief 15: 496.</t>
  </si>
  <si>
    <t>Kang, Y.-N., K.-K. So, D.-W. Kim, D.-H. Kim and T.-H. Lee (2019). "Draft Genome Sequencing of the Pathogenic Fungus Cladosporium phlei ATCC 36193 Identifies Candidates of Novel Polyketide Synthase Genes Involved in Perylenequinone-Group Pigment Production." Evolutionary Bioinformatics 15: 1176934319831306.</t>
  </si>
  <si>
    <t>Kang, Y. M., J. E. Choi, R. Komakech, J. H. Park, D. W. Kim, K. M. Cho, S. M. Kang, S. H. Choi, K. C. Song, C. M. Ryu, K. C. Lee and J.-S. Lee (2017). "Characterization of a novel yeast species Metschnikowia persimmonesis KCTC 12991BP (KIOM G15050 type strain) isolated from a medicinal plant, Korean persimmon calyx (Diospyros kaki Thumb)." AMB Express 7(1): 199.</t>
  </si>
  <si>
    <t>Kapoor, P. and B. Sharma (2014). "Studies on different growth parameters of Ganoderma lucidum." Int J Sci Environ Tech 3: 1515-1524.</t>
  </si>
  <si>
    <t>Kessie, F. (2013). Insights into the genome and secretome of Didymella pinodes, the causal agent of Ascochyta blight of pea. PhD, Murdoch University.</t>
  </si>
  <si>
    <t>Khojasteh, M., L. Chen, L. Shen, F. Chen, S. M. A. Shah, J. Luo and G. Chen (2022). "Genome Resource of Cladosporium cucumerinum Strain CCNX2 Causing Cucumber Scab in China." Plant Disease 106(5): 1510-1512.</t>
  </si>
  <si>
    <t>Kibar, B. and A. Peksen (2011a). "Mycelial growth requirements of Lactarius pyrogalus and Lactarius controversus." Afr. J. Microbiol. Res 5(28): 5107-5114.</t>
  </si>
  <si>
    <t>Kibar, B. and A. Peksen (2011b). "Nutritional and environmental requirements for vegetative growth of edible ectomycorrhizal mushroom Tricholoma terreum." Agriculture 98(4): 409-414.</t>
  </si>
  <si>
    <t>Kiladze, E. and N. Bitsadze (2024). "The Biological peculiarities of selected species of Ericoid Mycorrhizal Fungi associated with blueberry (Vaccinium corymbosum L.)." The Journal of Nature Studies-Annals of Agrarian Science 22(1).</t>
  </si>
  <si>
    <t>Kilaru, S., E. Fantozzi, S. Cannon, M. Schuster, T. M. Chaloner, C. Guiu-Aragones, S. J. Gurr and G. Steinberg (2022). "Zymoseptoria tritici white-collar complex integrates light, temperature and plant cues to initiate dimorphism and pathogenesis." Nature Communications 13(1): 5625.</t>
  </si>
  <si>
    <t>Kim, B. J., E. C. Lee, Y. Y. Lim, D. Kim and Y.-J. Chun (2009). "Optimal culture condition for antifungal susceptibility tests of Malassezia globosa." Kor J Med Mycol 14(4): 182-189.</t>
  </si>
  <si>
    <t>Kim, H. O., J. M. Lim, J. H. Joo, S. W. Kim, H. J. Hwang, J. W. Choi and J. W. Yun (2005a). "Optimization of submerged culture condition for the production of mycelial biomass and exopolysaccharides by Agrocybe cylindracea." Bioresource Technology 96(10): 1175-1182.</t>
  </si>
  <si>
    <t>Kim, S.-B., S.-H. Kim, K.-R. Lee, J.-O. Shim, M.-W. Lee, M.-J. Shim, U. Y. Lee and T.-S. Lee (2005b). "The Optimal Culture Conditions for the Mycelial Growth of Oudemansiella radicata." Mycobiology 33(4): 230-234.</t>
  </si>
  <si>
    <t>Kis-Papo, T., A. R. Weig, R. Riley, D. Peršoh, A. Salamov, H. Sun, A. Lipzen, S. P. Wasser, G. Rambold, I. V. Grigoriev and E. Nevo (2014). "Genomic adaptations of the halophilic Dead Sea filamentous fungus Eurotium rubrum." Nature Communications 5(1): 3745.</t>
  </si>
  <si>
    <t>Kishi, K., T. Furukawa and T. Aoki (1999). "Purple spot of Aloe (Aloe arborescens Mill.) caused by Fusarium phyllophilum Nirenberg et O'Donnell (new disease)." Japanese Journal of Phytopathology 65(6): 576-587.</t>
  </si>
  <si>
    <t>Kiyashko, A. (2017). "GROWTH SPECIFICS OF THE RARE POLYPORE BONDARZEWIA MESENTERICA (RUSSULALES, BASIDIOMYCOTA) UNDER SELECTIVE ABIOTIC AND BIOTIC FACTORS." Микология и фитопатология 51(4): 220-228.</t>
  </si>
  <si>
    <t>Ko, H. G., H. G. Park, S. H. Park, C. W. Choi, S. H. Kim and W. M. Park (2005). "Comparative study of mycelial growth and basidiomata formation in seven different species of the edible mushroom genus Hericium." Bioresource Technology 96(13): 1439-1444.</t>
  </si>
  <si>
    <t>Kobayashi, M. and S. Hayashi (1998). "Modeling combined effects of temperature and pH on the growth of Zygosaccharomyces rouxii in soy sauce mash." Journal of Fermentation and Bioengineering 85(6): 638-641.</t>
  </si>
  <si>
    <t>Kogan Helen, V., B. Elikan Annabelle, F. Glaser Kimberly, M. Bergmann Jenna, M. Raymond Laure, R. Prado-Irwin Sofia and W. Snow Jonathan (2023). "Colonization of Honey Bee Digestive Tracts by Environmental Yeast Lachancea thermotolerans Is Naturally Occurring, Temperature Dependent, and Impacts the Microbiome of Newly Emerged Bees." Microbiology Spectrum 11(2): e05194-05122.</t>
  </si>
  <si>
    <t>Konings, M., B. Gerrits van den Ende, M. W. J. Raats, A. H. Fahal, W. W. J. van de Sande and F. Hagen (2024). "Complete Genome Sequence of the Itraconazole Decreased Susceptible Madurella fahalii Type-Strain CBS 129176." Mycopathologia 189(1): 6.</t>
  </si>
  <si>
    <t>Korpi, A., A.-L. Pasanen and H. Viitanen (1998). "Volatile metabolites of Serpula lacrymans, Coniophora puteana, Poria placenta, Stachybotrys chartarum and Chaetomium globosum." Building and Environment 34(2): 205-211.</t>
  </si>
  <si>
    <t>Kostadinova, N., S. Tosi, B. Spassova and M. Angelova (2017). "Comparison of the oxidative stress response of two Antarctic fungi to different growth temperatures." Polish Polar Research: 393-408-393-408.</t>
  </si>
  <si>
    <t>Kotun, B. C. (2017). Mycotoxin production and molecular characterization of Penicillium species isolated from millet grains (Pennisetum glaucum)(L.) R. Br.) in Southwestern Nigeria PhD, University of Ibadan.</t>
  </si>
  <si>
    <t>Kovaleski, M., J. L. N. Maciel, G. B. d. Santos, A. N. d. Silva and C. C. Deuner (2020). "Conidia sporulation of Pyricularia oryzae in segments of wheat plants under six different temperatures." Ciência Rural 50(4): e20190573.</t>
  </si>
  <si>
    <t>Kowalski, T. and C. Bartnik (2010). "Morphologial variation in colonies of Chalara fraxinea isolated from ash (Fraxinus excelsior L.) stems with symptoms of dieback and effects of temperature on colony growth and structure." Acta Agrobotanica 63(1).</t>
  </si>
  <si>
    <t>Kowalski, T., K. Nawrot-Chorabik, B. Grad and K. Leszczyński (2016). "Influence of culture conditions on medium discoloration and mycelial growth of Dothistroma septosporum." Forest Pathology 46(5): 507-514.</t>
  </si>
  <si>
    <t>Kreusch, M. G. (2022). Physiological assessment of non-pigmented extremophilic yeasts from the Atacama Desert as models for space exploration (https://repositorio.ufsc.br/bitstream/handle/123456789/240997/PBTC0341-T.pdf). Florianópolis, Brazil, Federal University of Santa Catarina.</t>
  </si>
  <si>
    <t>Kuhlman, E. G. and W. D. Pepper (1994). "Temperature effects on basidiospore germination and on infection of Slash Pine seedlings by Cronartium quercuum f. sp. fusiforme." Phytopathology 84(7): 735-739.</t>
  </si>
  <si>
    <t>Kumar, S. S. and E. S. Edla Sujatha (2013). "Isolation and incidence of thermophilic fungi from various thermogenic habitats in Andhra Pradesh."</t>
  </si>
  <si>
    <t>Kurata, A., Y. Fukuta, M. Mori, N. Kishimoto and N. Shirasaka (2016). "Draft Genome Sequence of the Basidiomycetous Fungus Flammulina velutipes TR19." Genome Announcements 4(3): 10.1128/genomea.00505-00516.</t>
  </si>
  <si>
    <t>Kuvshinnikov, V., M. Sobotka, I. Minkevtch and V. Eroshin (1977). "Dependence of cell yield and specific growth rate of Candida boidinii on temperature during continuous cultivation." Folia microbiologica 22: 189-197.</t>
  </si>
  <si>
    <t>Lario, L. D., O. S. Pillaca-Pullo, L. Durães Sette, A. Converti, P. Casati, C. Spampinato and A. Pessoa (2020). "Optimization of protease production and sequence analysis of the purified enzyme from the cold adapted yeast Rhodotorula mucilaginosa CBMAI 1528." Biotechnology Reports 28: e00546.</t>
  </si>
  <si>
    <t>Lee, B. C., J. T. Bae, H. B. Pyo, T. B. Choe, S. W. Kim, H. J. Hwang and J. W. Yun (2004). "Submerged culture conditions for the production of mycelial biomass and exopolysaccharides by the edible Basidiomycete Grifola frondosa." Enzyme and Microbial Technology 35(5): 369-376.</t>
  </si>
  <si>
    <t>Lee, H., Y. M. Lee, Y. Jang, S. Lee, H. Lee, B. J. Ahn, G.-H. Kim and J.-J. Kim (2014). "Isolation and Analysis of the Enzymatic Properties of Thermophilic Fungi from Compost." Mycobiology 42(2): 181-184.</t>
  </si>
  <si>
    <t>Lee, S., H. Bae, N. Kim and S. Hwang (2008). "Optimization of Growth Conditions of Lentinus edodes Mycelium on Corn Processing Waste Using Response Surface Analysis." Journal of Bioscience and Bioengineering 105(2): 161-163.</t>
  </si>
  <si>
    <t>Lee, Y., K.-S. Cho, J.-H. Seo, K. H. Sohn and M. Prokchorchik (2020). "Improved Genome Sequence and Gene Annotation Resource for the Potato Late Blight Pathogen Phytophthora infestans." Molecular Plant-Microbe Interactions® 33(8): 1025-1028.</t>
  </si>
  <si>
    <t>Lehnen, M., B. E. Ebert and L. M. Blank (2019). "Elevated temperatures do not trigger a conserved metabolic network response among thermotolerant yeasts." BMC Microbiology 19(1): 100.</t>
  </si>
  <si>
    <t>Leo, P., M. de Melo Texeira, A. M. Chander, N. K. Singh, A. C. Simpson, A. Yurkov, F. Karouia, J. E. Stajich, C. E. Mason and K. Venkateswaran (2023). "Genomic characterization and radiation tolerance of Naganishia kalamii sp. nov. and Cystobasidium onofrii sp. nov. from Mars 2020 mission assembly facilities." IMA Fungus 14(1): 15.</t>
  </si>
  <si>
    <t>Leonard, K. (1977). "Virulence, temperature optima, and competitive abilities of isolines of races T and O of Bipolaris maydis." Phytopathology 67(10): 1273-1279.</t>
  </si>
  <si>
    <t>Leonardi, P., M. Iotti, S. Donati Zeppa, E. Lancellotti, A. Amicucci and A. Zambonelli (2017). "Morphological and functional changes in mycelium and mycorrhizas of Tuber borchii due to heat stress." Fungal Ecology 29: 20-29.</t>
  </si>
  <si>
    <t>Leuchtmann, A. and K. Clay (1989). "Morphological, Cultural and Mating Studies on Atkinsonella, Including A. Texensis." Mycologia 81(5): 692-701.</t>
  </si>
  <si>
    <t>Lévesque, C. A., H. Brouwer, L. Cano, J. P. Hamilton, C. Holt, E. Huitema, S. Raffaele, G. P. Robideau, M. Thines, J. Win, M. M. Zerillo, G. W. Beakes, J. L. Boore, D. Busam, B. Dumas, S. Ferriera, S. I. Fuerstenberg, C. M. M. Gachon, E. Gaulin, F. Govers, L. Grenville-Briggs, N. Horner, J. Hostetler, R. H. Y. Jiang, J. Johnson, T. Krajaejun, H. Lin, H. J. G. Meijer, B. Moore, P. Morris, V. Phuntmart, D. Puiu, J. Shetty, J. E. Stajich, S. Tripathy, S. Wawra, P. van West, B. R. Whitty, P. M. Coutinho, B. Henrissat, F. Martin, P. D. Thomas, B. M. Tyler, R. P. De Vries, S. Kamoun, M. Yandell, N. Tisserat and C. R. Buell (2010). "Genome sequence of the necrotrophic plant pathogen Pythium ultimum reveals original pathogenicity mechanisms and effector repertoire." Genome Biology 11(7): R73.</t>
  </si>
  <si>
    <t>Li, H., S. Wu, X. Ma, W. Chen, J. Zhang, S. Duan, Y. Gao, L. Kui, W. Huang, P. Wu, R. Shi, Y. Li, Y. Wang, J. Li, X. Guo, X. Luo, Q. Li, C. Xiong, H. Liu, M. Gui, J. Sheng and Y. Dong (2018). "The Genome Sequences of 90 Mushrooms." Scientific Reports 8(1): 9982.</t>
  </si>
  <si>
    <t>Li, J., D. Zhang, Y. Du, J. Song, R. Li, X. Dai, J. Chen, G. Li and Z. Liu (2023a). "Genome Sequence Resource of Cladosporium velox Strain C4 Causing Cotton Boll Disease in Xinjiang, China." Plant Disease 107(12): 4010-4015.</t>
  </si>
  <si>
    <t>Li, S., R. Travadon and F. P. Trouillas (2023b). "Effects of temperature on spore germination and mycelial growth of Calosphaeria pulchella, Cytospora sorbicola, and Eutypa lata isolates associated with sweet cherry canker diseases." Plant Disease 107(11): 3448-3456.</t>
  </si>
  <si>
    <t>Link, T., C. Seibel and R. T. Voegele (2014). "Early insights into the genome sequence of Uromyces fabae." Frontiers in Plant Science 5.</t>
  </si>
  <si>
    <t>Links, M. G., E. Holub, R. H. Y. Jiang, A. G. Sharpe, D. Hegedus, E. Beynon, D. Sillito, W. E. Clarke, S. Uzuhashi and M. H. Borhan (2011). "De novo sequence assembly of Albugo candida reveals a small genome relative to other biotrophic oomycetes." BMC Genomics 12(1): 503.</t>
  </si>
  <si>
    <t>Liu, N., C. Liu, Y. Song, X. Han, G. Zhang, Z. Feng, B. Wang, Y. Bu, J. Ou and Y. Gong (2023). "Genome and Transcriptome Analysis of Ascochyta pisi Provides Insights into the Pathogenesis of Ascochyta Blight of Pea." Microbiology Spectrum 11(1): e04488-04422.</t>
  </si>
  <si>
    <t>Liu, R., Y. Wang, P. Li, L. Sun, J. Jiang, X. Fan, C. Liu and Y. Zhang (2021). "Genome assembly and transcriptome analysis of the fungus Coniella diplodiella during infection on grapevine (Vitis vinifera L.)." Frontiers in Microbiology 11: 599150.</t>
  </si>
  <si>
    <t>López-Moral, A., B. I. Antón-Domínguez, M. Lovera, O. Arquero, A. Trapero and C. Agustí-Brisach (2024). "Identification and pathogenicity of Fusarium species associated with wilting and crown rot in almond (Prunus dulcis)." Scientific Reports 14(1): 5720.</t>
  </si>
  <si>
    <t>López-Moral, A., M. C. Raya-Ortega, C. Agustí-Brisach, L. F. Roca, M. Lovera, F. Luque, O. Arquero and A. Trapero (2017). "Morphological, pathogenic, and molecular characterization of Colletotrichum acutatum isolates causing almond anthracnose in Spain." Plant disease 101(12): 2034-2045.</t>
  </si>
  <si>
    <t>Lorch, J. M., J. M. Palmer, K. J. Vanderwolf, K. Z. Schmidt, M. L. Verant, T. J. Weller and D. S. Blehert (2018). "Malassezia vespertilionis sp. nov.: a new cold-tolerant species of yeast isolated from bats." Persoonia-Molecular Phylogeny and Evolution of Fungi 41(1): 56-70.</t>
  </si>
  <si>
    <t>Lovett, J. and R. G. Thompson (1978). "Patulin Production by Species of Aspergillus and Penicillium at 1.7, 7.2, and 12.8 C." Journal of Food Protection 41(3): 195-197.</t>
  </si>
  <si>
    <t>Lu, Y.-P., J.-H. Liao, Z.-J. Guo, Z.-X. Cai and M.-Y. Chen (2020). "Genome Survey and Transcriptome Analysis on Mycelia and Primordia of Agaricus blazei." BioMed Research International 2020(1): 1824183.</t>
  </si>
  <si>
    <t>Luangharn, T., S. C. Karunarathna, K. D. Hyde and E. Chukeatirote (2014). "Optimal conditions of mycelia growth of Laetiporus sulphureus sensu lato." Mycology 5(4): 221-227.</t>
  </si>
  <si>
    <t>Lurwanu, Y., Y.-P. Wang, W. Abdul, J. Zhan and L.-N. Yang (2020). "Temperature-Mediated Plasticity Regulates the Adaptation of Phytophthora infestans to Azoxystrobin Fungicide." Sustainability 12(3): 1188.</t>
  </si>
  <si>
    <t>Ma, Y., C. Y. Guan and X. J. Meng (2014). "Biological characteristics for mycelial growth of Agaricus bisporus." Applied Mechanics and Materials 508: 297-302.</t>
  </si>
  <si>
    <t>Mahajan, S. (2011). Characterization of the White-rot Fungus, Phanerochaete carnosa, through Proteomic Methods and Compositional Analysis of Decayed Wood Fibre. PhD, University of Toronto.</t>
  </si>
  <si>
    <t>Mandal, K., S. Dutta, A. Upadhyay, A. Panda and S. Tripathy (2022). "Comparative Genome Analysis Across 128 Phytophthora Isolates Reveal Species-Specific Microsatellite Distribution and Localized Evolution of Compartmentalized Genomes." Frontiers in Microbiology 13.</t>
  </si>
  <si>
    <t>Mannaa, M. and K. D. Kim (2017). "Influence of temperature and water activity on deleterious fungi and mycotoxin production during grain storage." Mycobiology 45(4): 240-254.</t>
  </si>
  <si>
    <t>Maphanga Tsidiso, G., M. Birkhead, F. Muñoz José, M. Allam, G. Zulu Thokozile, A. Cuomo Christina, S. Schwartz Ilan, A. Ismail, D. Naicker Serisha, S. Mpembe Ruth, C. Corcoran, S. de Hoog, C. Kenyon, M. Borman Andrew, A. Frean John and P. Govender Nelesh (2020). "Human Blastomycosis in South Africa Caused by Blastomyces percursus and Blastomyces emzantsi sp. nov., 1967 to 2014." Journal of Clinical Microbiology 58(3): 10.1128/jcm.01661-01619.</t>
  </si>
  <si>
    <t>Margesin, R. (2009). "Effect of temperature on growth parameters of psychrophilic bacteria and yeasts." Extremophiles 13(2): 257-262.</t>
  </si>
  <si>
    <t>Margesin, R. and F. Schinner (1997). "Effect of temperature on oil degradation by a psychrotrophic yeast in liquid culture and in soil." FEMS Microbiology Ecology 24(3): 243-249.</t>
  </si>
  <si>
    <t>Mastrodimos, N., D. Lentzou, C. Templalexis, D. I. Tsitsigiannis and G. Xanthopoulos (2019). "Development of thermography methodology for early diagnosis of fungal infection in table grapes: The case of Aspergillus carbonarius." Computers and Electronics in Agriculture 165: 104972.</t>
  </si>
  <si>
    <t>Matsumoto, R., J. Mehjabin Jakia, H. Noguchi, T. Miyamoto, E. Takasuka Taichi and C. Hori (2023). "Genomic and Secretomic Analyses of the Newly Isolated Fungus Perenniporia fraxinea SS3 Identified CAZymes Potentially Related to a Serious Pathogenesis of Hardwood Trees." Applied and Environmental Microbiology 89(5): e00272-00223.</t>
  </si>
  <si>
    <t>Mattupalli, C., J. D. Glasner and A. O. Charkowski (2014). "A Draft Genome Sequence Reveals the Helminthosporium solani Arsenal for Cell Wall Degradation." American Journal of Potato Research 91(5): 517-524.</t>
  </si>
  <si>
    <t>Mažeika, K., L. Šiliauskas, G. Skridlaitė, A. Matelis, R. Garjonytė, A. Paškevičius and V. Melvydas (2021). "Features of iron accumulation at high concentration in pulcherrimin-producing Metschnikowia yeast biomass." JBIC Journal of Biological Inorganic Chemistry 26(2): 299-311.</t>
  </si>
  <si>
    <t>McEvoy, I. and M. R. Stuart (1970). "Temperature tolerance of Aspergillus fischeri var. glaber in canned strawberries." Irish Journal of Agricultural Research: 59-67.</t>
  </si>
  <si>
    <t>McNeil, B. and B. Kristiansen (1990). "Temperature effects on polysaccharide formation by Aureobasidium pullulans in stirred tanks." Enzyme and Microbial Technology 12(7): 521-526.</t>
  </si>
  <si>
    <t>McRae, C. F., A. D. Hocking and R. D. Seppelt (1999). "Penicillium species from terrestrial habitats in the Windmill Islands, East Antarctica, including a new species, Penicillium antarcticum." Polar Biology 21(2): 97-111.</t>
  </si>
  <si>
    <t>Mehra, L., U. Adhikari, C. Cowger and P. S. Ojiambo (2018). Septoria nodorum blotch of wheat, PeerJ Preprints.</t>
  </si>
  <si>
    <t>Melo, I. S., S. N. Santos, L. H. Rosa, M. M. Parma, L. J. Silva, S. C. N. Queiroz and V. H. Pellizari (2014). "Isolation and biological activities of an endophytic Mortierella alpina strain from the Antarctic moss Schistidium antarctici." Extremophiles 18(1): 15-23.</t>
  </si>
  <si>
    <t>Mena, E., S. Garaycochea, S. Stewart, M. Montesano and I. Ponce De León (2022). "Comparative genomics of plant pathogenic Diaporthe species and transcriptomics of Diaporthe caulivora during host infection reveal insights into pathogenic strategies of the genus." BMC Genomics 23(1): 175.</t>
  </si>
  <si>
    <t>Miles, E. A. and A. P. J. Trinci (1983). "Effect of pH and temperature on morphology of batch and chemostat cultures of Penicillium chrysogenum." Transactions of the British Mycological Society 81(2): 193-200.</t>
  </si>
  <si>
    <t>Miller, T. F. and V. R. Srinivasan (1983). "Producton of single-cell protein from cellulose by Aspergillus terreus." Biotechnology and Bioengineering 25(6): 1509-1519.</t>
  </si>
  <si>
    <t>Min, B., S. Kim, Y.-L. Oh, W.-S. Kong, H. Park, H. Cho, K.-Y. Jang, J.-G. Kim and I.-G. Choi (2018). "Genomic discovery of the hypsin gene and biosynthetic pathways for terpenoids in Hypsizygus marmoreus." BMC Genomics 19(1): 789.</t>
  </si>
  <si>
    <t>Mitchell, D. T. and R. C. Cooke (1968). "Some effects of temperature on germination and longevity of sclerotia in Claviceps purpurea." Transactions of the British Mycological Society 51(5): 721-729.</t>
  </si>
  <si>
    <t>Mold Busters. (2024). " Aspergillus versicolor (https://library.bustmold.com/aspergillus/aspergillus-versicolor/)."</t>
  </si>
  <si>
    <t>Moore, M. J. and M. E. Ostry (2015). "Influence of Temperature and Humidity on the Viability of Ophiognomonia clavigignenti-juglandacearum Conidia." Plant Disease 99(12): 1841-1846.</t>
  </si>
  <si>
    <t>Moore, M. L. and D. L. Six (2015). "Effects of Temperature on Growth, Sporulation, and Competition of Mountain Pine Beetle Fungal Symbionts." Microbial Ecology 70(2): 336-347.</t>
  </si>
  <si>
    <t>Morgenstern, I., J. Powlowski, N. Ishmael, C. Darmond, S. Marqueteau, M.-C. Moisan, G. Quenneville and A. Tsang (2012). "A molecular phylogeny of thermophilic fungi." Fungal Biology 116(4): 489-502.</t>
  </si>
  <si>
    <t>Morio, F., C. E. O’Brien and G. Butler (2020). "Draft Genome Sequence of the Yeast Kazachstania telluris CBS 16338 Isolated from Forest Soil in Ireland." Mycopathologia 185(3): 587-590.</t>
  </si>
  <si>
    <t>Mouchacca, J. (1997). "Thermophilic fungi: biodiversity and taxonomic status." Cryptogamie Mycologie 18: 19-70.</t>
  </si>
  <si>
    <t>Mouchacca, J. (2000). "Thermotolerant fungi erroneously reported in applied research work as possessing thermophilic attributes." World Journal of Microbiology and Biotechnology 16(8): 869-880.</t>
  </si>
  <si>
    <t>Mouchacca, J. (2007). "Heat tolerant fungi and applied research: Addition to the previously treated group of strictly thermotolerant species." World Journal of Microbiology and Biotechnology 23(12): 1755-1770.</t>
  </si>
  <si>
    <t>Moussa, T. A. A., H. S. Al-Zahrani, N. M. S. Kadasa, S. A. Ahmed, G. S. de Hoog and A. M. S. Al-Hatmi (2017). "Two new species of the Fusarium fujikuroi species complex isolated from the natural environment." Antonie van Leeuwenhoek 110(6): 819-832.</t>
  </si>
  <si>
    <t>Mráz, P., M. Hýbl, M. Kopecký, A. Bohatá, J. Konopická, I. Hoštičková, P. Konvalina, J. Šipoš, M. Rost and V. Čurn (2021) "The Effect of Artificial Media and Temperature on the Growth and Development of the Honey Bee Brood Pathogen Ascosphaera apis." Biology 10 DOI: 10.3390/biology10050431.</t>
  </si>
  <si>
    <t>Mswaka, A. Y. and N. Magan (1999). "Temperature and water potential relations of tropical Trametes and other wood-decay fungi from the indigenous forests of Zimbabwe." Mycological Research 103(10): 1309-1317.</t>
  </si>
  <si>
    <t>Myint, K. T., M. Otsuka, A. Okubo, R. Mitsuhashi, A. Oguro, H. Maeda, T. Shigeno, K. Sato and T. Nakajima-Kambe (2020). "Isolation and identification of flower yeasts for the development of mixed culture to produce single-cell protein from waste milk." Bioresource Technology Reports 10: 100401.</t>
  </si>
  <si>
    <t>Naganuma, T., Y. Uzuka and K. Tanaka (1985). "Physiological factors affecting total cell number and lipid content of the yeast, Lipomyces starkeyi." The Journal of General and Applied Microbiology 31(1): 29-37.</t>
  </si>
  <si>
    <t>Najafzadeh, M. J., V. A. Vicente, J. Sun, J. F. Meis and G. S. de Hoog (2011). "Fonsecaea multimorphosa sp. nov, a new species of Chaetothyriales isolated from a feline cerebral abscess." Fungal Biology 115(10): 1066-1076.</t>
  </si>
  <si>
    <t>Nakasone, K. K. (1981). "Cultural studies on Poria cinerascens, P. rivulosa, and P. subvermispora (Aphyllophorales, Basidiomycotina)." Mycotaxon 13(1): 105 - 111.</t>
  </si>
  <si>
    <t>Naseeb, S., H. Alsammar, T. Burgis, I. Donaldson, N. Knyazev, C. Knight and D. Delneri (2018). "Whole Genome Sequencing, de Novo Assembly and Phenotypic Profiling for the New Budding Yeast Species Saccharomyces jurei." G3 Genes|Genomes|Genetics 8(9): 2967-2977.</t>
  </si>
  <si>
    <t>Nasr, S., M. Mohammadimehr, M. Geranpayeh Vaghei, M. A. Amoozegar and S. A. Shahzadeh Fazeli (2018). "Aureobasidium mangrovei sp. nov., an ascomycetous species recovered from Hara protected forests in the Persian Gulf, Iran." Antonie van Leeuwenhoek 111(9): 1697-1705.</t>
  </si>
  <si>
    <t>Nemri, A., D. G. Saunders, C. Anderson, N. M. Upadhyaya, J. Win, G. J. Lawrence, D. A. Jones, S. Kamoun, J. G. Ellis and P. N. Dodds (2014). "The genome sequence and effector complement of the flax rust pathogen Melampsora lini." Frontiers in plant science 5: 98.</t>
  </si>
  <si>
    <t>Ng Kee, P., M. Yew Su, L. Chan Chai, S. Soo-Hoo Tuck, L. Na Shiang, H. Hassan, F. Ngeow Yun, C.-C. Hoh, K.-W. Lee and W.-Y. Yee (2012). "Sequencing of Cladosporium sphaerospermum, a Dematiaceous Fungus Isolated from Blood Culture." Eukaryotic Cell 11(5): 705-706.</t>
  </si>
  <si>
    <t>Nguyen, H. D. T., A. Dodge, K. Dadej, T. L. Rintoul, E. Ponomareva, F. N. Martin, A. W. A. M. de Cock, C. A. Lévesque, S. A. Redhead and C. F. J. Spies (2022). "Whole genome sequencing and phylogenomic analysis show support for the splitting of genus Pythium." Mycologia 114(3): 501-515.</t>
  </si>
  <si>
    <t>Nguyen, L. T., V. Van Le, B. T. T. Nguyen, H. T. T. Nguyen, A. D. Tran and N. X. Ngo (2023a). "Optimization of mycelial growth and cultivation of wild Ganoderma sinense." BioTechnologia (Pozn) 104(1): 65-74.</t>
  </si>
  <si>
    <t>Nguyen, T. T. T., S. H. Lee, S. Bae, S. J. Jeon, H. Y. Mun and H. B. Lee (2016a). "Characterization of Two New Records of Zygomycete Species Belonging to Undiscovered Taxa in Korea." Mycobiology 44(1): 29-37.</t>
  </si>
  <si>
    <t>Nguyen, T. T. T., N. C. Paul and H. B. Lee (2016b). "Characterization of Paecilomyces variotii and Talaromyces amestolkiae in Korea based on the morphological characteristics and multigene phylogenetic analyses." Mycobiology 44(4): 248-259.</t>
  </si>
  <si>
    <t>Nguyen, T. T. T., A. L. C. M. d. A. Santiago, P. M. Kirk and H. B. Lee (2023b). "Discovery of a New Lichtheimia (Lichtheimiaceae, Mucorales) from Invertebrate Niche and Its Phylogenetic Status and Physiological Characteristics." Journal of Fungi 9(3): 317.</t>
  </si>
  <si>
    <t>Nguyen Van Long, N., K. Rigalma, J.-L. Jany, J. Mounier and V. Vasseur (2021). "Intraspecific variability in cardinal growth temperatures and water activities within a large diversity of Penicillium roqueforti strains." Food Research International 148: 110610.</t>
  </si>
  <si>
    <t>Nielsen, T. A. B. (1982). "Comparative studies of the Physiology of Allomyces species." Transactions of the British Mycological Society 78(1): 83-88.</t>
  </si>
  <si>
    <t>Nierman, W. C., A. Pain, M. J. Anderson, J. R. Wortman, H. S. Kim, J. Arroyo, M. Berriman, K. Abe, D. B. Archer, C. Bermejo, J. Bennett, P. Bowyer, D. Chen, M. Collins, R. Coulsen, R. Davies, P. S. Dyer, M. Farman, N. Fedorova, N. Fedorova, T. V. Feldblyum, R. Fischer, N. Fosker, A. Fraser, J. L. García, M. J. García, A. Goble, G. H. Goldman, K. Gomi, S. Griffith-Jones, R. Gwilliam, B. Haas, H. Haas, D. Harris, H. Horiuchi, J. Huang, S. Humphray, J. Jiménez, N. Keller, H. Khouri, K. Kitamoto, T. Kobayashi, S. Konzack, R. Kulkarni, T. Kumagai, A. Lafton, J.-P. Latgé, W. Li, A. Lord, C. Lu, W. H. Majoros, G. S. May, B. L. Miller, Y. Mohamoud, M. Molina, M. Monod, I. Mouyna, S. Mulligan, L. Murphy, S. O'Neil, I. Paulsen, M. A. Peñalva, M. Pertea, C. Price, B. L. Pritchard, M. A. Quail, E. Rabbinowitsch, N. Rawlins, M.-A. Rajandream, U. Reichard, H. Renauld, G. D. Robson, S. R. de Córdoba, J. M. Rodríguez-Peña, C. M. Ronning, S. Rutter, S. L. Salzberg, M. Sanchez, J. C. Sánchez-Ferrero, D. Saunders, K. Seeger, R. Squares, S. Squares, M. Takeuchi, F. Tekaia, G. Turner, C. R. V. de Aldana, J. Weidman, O. White, J. Woodward, J.-H. Yu, C. Fraser, J. E. Galagan, K. Asai, M. Machida, N. Hall, B. Barrell and D. W. Denning (2005). "Genomic sequence of the pathogenic and allergenic filamentous fungus Aspergillus fumigatus." Nature 438(7071): 1151-1156.</t>
  </si>
  <si>
    <t>Nieto-Sarabia, V. L., C. B. Ballinas-Cesatti, G. Melgar-Lalanne, E. Cristiani-Urbina and L. Morales-Barrera (2022). "Isolation, identification, and kinetic and thermodynamic characterization of a Pichia kudriavzevii yeast strain capable of fermentation." Food and Bioproducts Processing 131: 109-124.</t>
  </si>
  <si>
    <t>Niu, X., F. Yu, H. Zhu, X. Meng, D. Yang, W. Qin and G. Lu (2022). "High-Quality Genome Sequence Resource of Thielaviopsis paradoxa Strain X-3314, Causing Coconut Stem Bleeding." Plant Disease 106(9): 2514-2517.</t>
  </si>
  <si>
    <t>Noseda, D. G., M. N. Recúpero, M. Blasco, G. E. Ortiz and M. A. Galvagno (2013). "Cloning, expression and optimized production in a bioreactor of bovine chymosin B in Pichia (Komagataella) pastoris under AOX1 promoter." Protein Expression and Purification 92(2): 235-244.</t>
  </si>
  <si>
    <t>Nutman, F. J., F. M. Roberts and R. T. Clarke (1963). "Studies on the biology of Hemileia vastatrix Berk. &amp; Br." Transactions of the British Mycological Society 46(1): 27-44.</t>
  </si>
  <si>
    <t>Nxumalo, T. (2018). Development of a biocontrol agent, Lecanicillium attenuatum (Zare &amp; Gams), of wheat leaf rust (Puccinia triticina Eriks.). MSc, University of KwaZulu-Natal.</t>
  </si>
  <si>
    <t>Oh, J.-J., Y. J. Kim, J. Y. Kim, S. L. Kwon, C. Lee, M.-E. Lee, J. W. Kim and G.-H. Kim (2021). "Genomic Analysis and Assessment of Melanin Synthesis in Amorphotheca resinae KUC3009." Journal of Fungi 7(4): 289.</t>
  </si>
  <si>
    <t>Orozoco-Avitia, A., M. Esqueda, A. Meza, M. Tiznado, A. Guitierrez and A. Gardea (2013). "Temperature effect on Rhizoctonia solani analyzed by microcalorimetry." American Journal of Agricultural and Biological Sciences 8(2): 162-166.</t>
  </si>
  <si>
    <t>Orwa, P., G. Mugambi, V. Wekesa and R. Mwirichia (2020). "Isolation of haloalkaliphilic fungi from Lake Magadi in Kenya." Heliyon 6(1).</t>
  </si>
  <si>
    <t>Osborne, L. and Z. Landa (1992). "Biological control of whiteflies with entomopathogenic fungi." Florida entomologist: 456-471.</t>
  </si>
  <si>
    <t>Ozimek, E., J. Jaroszuk-Ściseł, J. Bohacz, T. Korniłłowicz-Kowalska, R. Tyśkiewicz, A. Słomka, A. Nowak and A. Hanaka (2018). "Synthesis of Indoleacetic Acid, Gibberellic Acid and ACC-Deaminase by Mortierella Strains Promote Winter Wheat Seedlings Growth under Different Conditions." International Journal of Molecular Sciences 19(10): 3218.</t>
  </si>
  <si>
    <t>Özketen, A. Ç. (2013). Cloning, transformation and wheat infiltration assay of a puccinia striiformis f. sp. tritici effector candidate. MSc, Middle East Technical University.</t>
  </si>
  <si>
    <t>Paiva, D. S., L. Fernandes, A. Portugal and J. Trovão (2024). "First Genome Sequence of the Microcolonial Black Fungus Saxispiralis lemnorum MUM 23.14: Insights into the Unique Genomic Traits of the Aeminiaceae Family." Microorganisms 12(1): 104.</t>
  </si>
  <si>
    <t>Paiva, D. S., J. Trovão, L. Fernandes, N. Mesquita, I. Tiago and A. Portugal (2023). "Expanding the Microcolonial Black Fungi Aeminiaceae Family: Saxispiralis lemnorum gen. et sp. nov. (Mycosphaerellales), Isolated from Deteriorated Limestone in the Lemos Pantheon, Portugal." Journal of Fungi 9(9): 916.</t>
  </si>
  <si>
    <t>Panebianco, C. (1994). "Temperature Requirements of Selected Marine Fungi." Botanica Marina 37(2): 157-162.</t>
  </si>
  <si>
    <t>Pascual, S., J. R. Rico, A. De Cal and P. Melgarejo (1997). "Ecophysiological factors affecting growth, sporulation and survival of the biocontrol agent Penicillium oxalicum." Mycopathologia 139(1): 43-50.</t>
  </si>
  <si>
    <t>Pavlov Andrey, R., V. Tyazhelova Tatiana, V. Moiseenko Konstantin, V. Vasina Daria, V. Mosunova Olga, V. Fedorova Tatiana, G. Maloshenok Lilya, O. Landesman Elena, A. Bruskin Sergei, V. Psurtseva Nadezhda, I. Slesarev Alexei, A. Kozyavkin Sergei and V. Koroleva Olga (2015). "Draft Genome Sequence of the Fungus Trametes hirsuta 072." Genome Announcements 3(6): 10.1128/genomea.01287-01215.</t>
  </si>
  <si>
    <t>Peng, J., J. A. Rojas, H. Sang, T. J. Proffer, C. A. Outwater, R. Vilgalys and G. W. Sundin (2020). "Draft Genome Sequence Resource for Blumeriella jaapii, the Cherry Leaf Spot Pathogen." Phytopathology® 110(9): 1507-1510.</t>
  </si>
  <si>
    <t>Perdomo, H., J. Cano, J. Gené, D. García, M. Hernández and J. Guarro (2013). "Polyphasic analysis of Purpureocillium lilacinum isolates from different origins and proposal of the new species Purpureocillium lavendulum." Mycologia 105(1): 151-161.</t>
  </si>
  <si>
    <t>Perrone, G., R. A. Samson, J. C. Frisvad, A. Susca, N. Gunde-Cimerman, F. Epifani and J. Houbraken (2015). "Penicillium salamii, a new species occurring during seasoning of dry-cured meat." International Journal of Food Microbiology 193: 91-98.</t>
  </si>
  <si>
    <t>Perry, E. A. (1967). Host-parasite interactions between Rozella allomycis and Allomyces, Indiana University.</t>
  </si>
  <si>
    <t>Peterson, S. W., E. M. Bayer and D. T. Wicklow (2004). "Penicillium thiersii, Penicillium angulare and Penicillium decaturense, new species isolated from wood-decay fungi in North America and their phylogenetic placement from multilocus DNA sequence analysis." Mycologia 96(6): 1280-1293.</t>
  </si>
  <si>
    <t>Phillips, D. H. and D. A. Burdekin (1982). Diseases of minor forest conifers: Abies, Cupressus and Chamaecyparis, Thuja and Tsuga. Diseases of Forest and Ornamental Trees. D. H. Phillips and D. A. Burdekin. London, Palgrave Macmillan UK: 180-195.</t>
  </si>
  <si>
    <t>Piombo, E., N. Sela, M. Wisniewski, M. Hoffmann, M. L. Gullino, M. W. Allard, E. Levin, D. Spadaro and S. Droby (2018). "Genome sequence, assembly and characterization of two Metschnikowia fructicola strains used as biocontrol agents of postharvest diseases." Frontiers in microbiology 9: 593.</t>
  </si>
  <si>
    <t>Pitt, J. I. and A. D. Hocking (2022). Ecology of fungal food spoilage, Springer.</t>
  </si>
  <si>
    <t>Plaza, P., J. Usall, N. Teixidó and I. Viñas (2003). "Effect of water activity and temperature on germination and growth of Penicillium digitatum, P. italicum and Geotrichum candidum." Journal of Applied Microbiology 94(4): 549-554.</t>
  </si>
  <si>
    <t>Plummer, N. T. (1984). The physiology and large scale cultivation of ectomycorrhizal fungi. PhD, University of Surrey</t>
  </si>
  <si>
    <t>Polizzi, V., A. Adams, S. De Saeger, C. Van Peteghem, A. Moretti and N. De Kimpe (2012). "Influence of various growth parameters on fungal growth and volatile metabolite production by indoor molds." Science of The Total Environment 414: 277-286.</t>
  </si>
  <si>
    <t>Polizzi, V., L. Fazzini, A. Adams, A. M. Picco, S. De Saeger, C. Van Peteghem and N. De Kimpe (2011). "Autoregulatory Properties of (+)-Thujopsene and Influence of Environmental Conditions on Its Production by Penicillium decumbens." Microbial Ecology 62(4): 838-852.</t>
  </si>
  <si>
    <t>Poltronieri, T. P. d. S., L. A. S. d. Azevedo and D. E. M. d. Silva (2013). "Effect of temperature on mycelial growth and conidial production and germination for Colletotrichum gloeosporioides isolated from juçara palm fruits (Euterpe edulis Mart)." Summa Phytopathologica 39: 281-285.</t>
  </si>
  <si>
    <t>Porto, B. N., E. T. Caixeta, S. M. Mathioni, P. M. P. Vidigal, L. Zambolim, E. M. Zambolim, N. Donofrio, S. W. Polson, T. A. Maia and C. Chen (2019). "Genome sequencing and transcript analysis of Hemileia vastatrix reveal expression dynamics of candidate effectors dependent on host compatibility." PLoS One 14(4): e0215598.</t>
  </si>
  <si>
    <t>Prakash, H., S. M. Rudramurthy, P. S. Gandham, A. K. Ghosh, M. M. Kumar, C. Badapanda and A. Chakrabarti (2017). "Apophysomyces variabilis: draft genome sequence and comparison of predictive virulence determinants with other medically important Mucorales." BMC Genomics 18(1): 736.</t>
  </si>
  <si>
    <t>Pratibha, J. and S. Pal (2021). "Influence of temperature and humidity on conidial germination and colony growth of entomopathogenic fungi." Journal of Entomology and Zoology Studies 9(4): 201-206.</t>
  </si>
  <si>
    <t>Pugh, G. J. F. and M. J. MacDonald (1980). Growth of basidiomycetes in the presence of agrochemicals. Soil Biology as Related to Land Use Practices : Proceedings of the Seventh International Soil Zoology Colloquium of the International Society of Soil Science (ISSS) Environmental Protection Agency (USA).</t>
  </si>
  <si>
    <t>Quan, Y., S. A. Ahmed, N. Menezes da Silva, A. M. S. Al-Hatmi, V. E. Mayer, S. Deng, Y. Kang, G. Sybren de Hoog and D. Shi (2021). "Novel black yeast-like species in chaetothyriales with ant-associated life styles." Fungal Biology 125(4): 276-284.</t>
  </si>
  <si>
    <t>Raaman, N., B. Mahendran, C. Jaganathan, S. Sukumar and V. Chandrasekaran (2010). "Optimisation of extracellular tannase production from Paecilomyces variotii." World Journal of Microbiology and Biotechnology 26(6): 1033-1039.</t>
  </si>
  <si>
    <t>Rahmat, E., I. Park and Y. Kang (2021). "The whole-genome sequence of the novel yeast species Metschnikowia persimmonesis isolated from medicinal plant Diospyros kaki Thunb." G3 Genes|Genomes|Genetics 11(11): jkab246.</t>
  </si>
  <si>
    <t>Rajarammohan, S., K. Paritosh, D. Pental and J. Kaur (2019). "Comparative genomics of Alternaria species provides insights into the pathogenic lifestyle of Alternaria brassicae – a pathogen of the Brassicaceae family." BMC Genomics 20(1): 1036.</t>
  </si>
  <si>
    <t>Ramana Murthy, M. V., E. V. S. Mohan and A. K. Sadhukhan (1999). "Cyclosporin-A production by Tolypocladium inflatum using solid state fermentation." Process Biochemistry 34(3): 269-280.</t>
  </si>
  <si>
    <t>Rangel, D. E. N., É. K. K. Fernandes, S. J. Dettenmaier and D. W. Roberts (2010). "Thermotolerance of germlings and mycelium of the insect-pathogenic fungus Metarhizium spp. and mycelial recovery after heat stress." Journal of Basic Microbiology 50(4): 344-350.</t>
  </si>
  <si>
    <t>Rasheva, T., J. N. Hallet and A. Kujumdzieva (1998). "Taxonomic investigation of Monascus purpureus 94-25 strain." J. Cult. Collect 2: 51-59.</t>
  </si>
  <si>
    <t>Reina, R., H. Kellner, J. Hess, N. Jehmlich, I. Garcia-Romera, E. Aranda, M. Hofrichter and C. Liers (2019). "Genome and secretome of Chondrostereum purpureum correspond to saprotrophic and phytopathogenic life styles." PLoS One 14(3): e0212769.</t>
  </si>
  <si>
    <t>Riebold, D., M. Mahnkopf, K. Wicht, C. Zubiria-Barrera, J. Heise, M. Frank, D. Misch, T. Bauer, H. Stocker and H. Slevogt (2023). "Axenic Long-Term Cultivation of Pneumocystis jirovecii." Journal of Fungi 9(9): 903.</t>
  </si>
  <si>
    <t>Ritika, S. Pant, A. Komesu, E. D. Penteado, A. A. R. Diniz, M. A. Rahman, R. K. Bhunia and A. Kuila (2023). "Simultaneous fermentation of glucose and xylose by using co-culture of S. cerevisiae and a potential robust pentose fermenting fungi (Fusarium incarnatum)." Biomass Conversion and Biorefinery 13(9): 8089-8100.</t>
  </si>
  <si>
    <t>Rizal, L. M., K. D. Hyde, E. Chukeatirote, S. C. Karunarathna, P. Kakumyan and S. Chamyuang (2016). "First successful cultivation of the edible mushroom Macrolepiota dolichaula in Thailand." Chiang Mai Journal of Science 43(5): 959-971.</t>
  </si>
  <si>
    <t>Robert, V., G. Cardinali and A. Casadevall (2015). "Distribution and impact of yeast thermal tolerance permissive for mammalian infection." BMC Biology 13(1): 18.</t>
  </si>
  <si>
    <t>Rochi, L., M. J. Diéguez, G. Burguener, M. A. Darino, M. F. Pergolesi, L. R. Ingala, A. R. Cuyeu, A. Turjanski, E. D. Kreff and F. Sacco (2018). "Characterization and comparative analysis of the genome of Puccinia sorghi Schwein, the causal agent of maize common rust." Fungal Genetics and Biology 112: 31-39.</t>
  </si>
  <si>
    <t>Rodríguez, K., A. Stchigel and J. Guarro (2002). "Three new species of Chaetomium from soil." Mycologia 94(1): 116-126.</t>
  </si>
  <si>
    <t>Roets, F., Z. W. de Beer, M. J. Wingfield, P. W. Crous and L. L. Dreyer (2008). "Ophiostoma gemellus and Sporothrix variecibatus from mites infesting Protea infructescences in South Africa." Mycologia 100(3): 496-510.</t>
  </si>
  <si>
    <t>Rogério, F., T. R. Boufleur, M. Ciampi-Guillardi, S. A. Sukno, M. R. Thon, N. S. Massola Júnior and R. Baroncelli (2020). "Genome Sequence Resources of Colletotrichum truncatum, C. plurivorum, C. musicola, and C. sojae: Four Species Pathogenic to Soybean (Glycine max)." Phytopathology® 110(9): 1497-1499.</t>
  </si>
  <si>
    <t>Ru, S., X. Chen, D. Dai, H. Wang, G. Ning and P. Zhao (2002). "Study on the biological characteristics of Fulvia fulva (Cooke) Ciferri." Acta Agriculturae Zhejiangensis 14(1): 38-41.</t>
  </si>
  <si>
    <t>Rubin, A. L. (2001). CHAPTER 40 - Mammalian Toxicity of Microbial Pest Control Agents. Handbook of Pesticide Toxicology (Second Edition). R. I. Krieger and W. C. Krieger. San Diego, Academic Press: 859-871.</t>
  </si>
  <si>
    <t>Ryan, F. J., G. Beadle and E. Tatum (1943). "The tube method of measuring the growth rate of Neurospora." American Journal of Botany: 784-799.</t>
  </si>
  <si>
    <t>Sá-Correia, I. and N. Van Uden (1983). "Temperature profiles of ethanol tolerance: effects of ethanol on the minimum and the maximum temperatures for growth of the yeasts Saccharomyces cerevisiae and Kluyveromyces fragilis." Biotechnol. Bioeng.;(United States) 25(6).</t>
  </si>
  <si>
    <t>Sabburg, R. M. (2015). "Impact of increasing temperature on the fitness of Fusarium pseudograminearum causing crown rot in wheat."</t>
  </si>
  <si>
    <t>Sabri, A., P. Jacques, F. Weekers, G. Baré, S. Hiligsmann, M. Moussaïf and P. Thonart (2000). Effect of Temperature on Growth of Psychrophilic and Psychrotrophic Members of Rhodotorula aurantiaca. Twenty-First Symposium on Biotechnology for Fuels and Chemicals: Proceedings of the Twenty-First Symposium on Biotechnology for Fuels and Chemicals Held May 2–6, 1999, in Fort Collins, Colorado. M. Finkelstein and B. H. Davison. Totowa, NJ, Humana Press: 391-399.</t>
  </si>
  <si>
    <t>Saccomori, F., É. F. Wigmann, A. O. Bernardi, M. d. J. Alcano-González and M. V. Copetti (2015). "Influence of storage temperature on growth of Penicillium polonicum and Penicillium glabrum and potential for deterioration of frozen chicken nuggets." International Journal of Food Microbiology 200: 1-4.</t>
  </si>
  <si>
    <t>Saensuk, T. and S. Suntararak (2018). "Mycelial Cultivation of 4 Edible Mushrooms from Khao Kra-Dong Volcano Forest Park, Thailand." Naresuan University Journal: Science and Technology (NUJST) 26(2): 38-45.</t>
  </si>
  <si>
    <t>Saito, I. (1997). "Sclerotinia nivalis, sp. nov., the pathogen of snow mold of herbaceous dicots in northern Japan." Mycoscience 38(2): 227-236.</t>
  </si>
  <si>
    <t>Salehi, M. R., G. Bonito, K. Ghasemi, M. A. T. Ghanbary and F. F. Raouf (2023). "Optimising in vitro culture conditions for the truffle Tuber brumale." Botanica Serbica 47(2): 259-269.</t>
  </si>
  <si>
    <t>Salvadó, Z., F. N. Arroyo-López, J. M. Guillamón, G. Salazar, A. Querol and E. Barrio (2011). "Temperature adaptation markedly determines evolution within the genus Saccharomyces." Applied and environmental microbiology 77(7): 2292-2302.</t>
  </si>
  <si>
    <t>Samadi, R., M. Arzanlou, Y. Ghosta, A. Babai-Ahari and A. Samadi (2015). "Biodiversity of Aspergillus species in soils of the National Park of Urmia Lake (NW Iran)." Rostaniha 16(2): 135-145.</t>
  </si>
  <si>
    <t>Samerpitak, K., A. H. G. Gerrits van den Ende and G. S. de Hoog (2017). Increasing growth rate of Verruconis gallopava, could it be one of the factors supporting its pathogenicity in warm blooded-animals? Amsterdam, The Netherlands, Morressier.</t>
  </si>
  <si>
    <t>Sánchez, S., V. Bravo, A. J. Moya, E. Castro and F. Camacho (2004). "Influence of temperature on the fermentation of d-xylose by Pachysolen tannophilus to produce ethanol and xylitol." Process Biochemistry 39(6): 673-679.</t>
  </si>
  <si>
    <t>Santos, S. A. d. (2020). Genomic and transcriptomic analyses of Austropuccinia psidii and Ceratocystis fimbriata, the causal agents of myrtle rust and ceratocystis wilt, respectively. D.Sc, Universidade Federal de Viçosa.</t>
  </si>
  <si>
    <t>Sanz-Rocha, M., M. Gerding, T. Quezada, M. Vargas, D. Chávez and Á. Machuca (2023). "Molecular and cultural characterization of Morchella spp. from disturbed environments of central-southern Chile." Fungal Biology 127(3): 938-948.</t>
  </si>
  <si>
    <t>Sardella, D., R. Gatt and V. P. Valdramidis (2018). "Modelling the growth of pear postharvest fungal isolates at different temperatures." Food Microbiology 76: 450-456.</t>
  </si>
  <si>
    <t>Scarcella, A. S. d. A., T. M. Pasin, T. B. de Oliveira, R. C. de Lucas, M. S. Ferreira-Nozawa, E. N. d. Freitas, A. C. Vici, M. S. Buckeridge, M. Michelin and M. d. L. T. d. M. Polizeli (2021). "Saccharification of different sugarcane bagasse varieties by enzymatic cocktails produced by Mycothermus thermophilus and Trichoderma reesei RP698 cultures in agro-industrial residues." Energy 226: 120360.</t>
  </si>
  <si>
    <t>Schardl, C. L., C. A. Young, N. Moore, N. Krom, P.-Y. Dupont, J. Pan, S. Florea, J. S. Webb, J. Jaromczyk, J. W. Jaromczyk, M. P. Cox and M. L. Farman (2014). Chapter Ten - Genomes of Plant-Associated Clavicipitaceae. Advances in Botanical Research. F. M. Martin, Academic Press. 70: 291-327.</t>
  </si>
  <si>
    <t>Schindler, A., J. G. Palmer and W. Eisenberg (1967). "Aflatoxin production by Aspergillus flavus as related to various temperatures." Applied Microbiology 15(5): 1006-1009.</t>
  </si>
  <si>
    <t>Schmidt, O. (2006). Wood and Tree Fungi: biology, damage, protection and use. Berlin, Germany, Springer.</t>
  </si>
  <si>
    <t>Schwartze, V. U., S. Winter, E. Shelest, M. Marcet-Houben, F. Horn, S. Wehner, J. Linde, V. Valiante, M. Sammeth and K. Riege (2014). "Gene expansion shapes genome architecture in the human pathogen Lichtheimia corymbifera: an evolutionary genomics analysis in the ancient terrestrial mucorales (Mucoromycotina)." PLoS genetics 10(8): e1004496.</t>
  </si>
  <si>
    <t>Schwiesow, M. J., N. C. Elde and Z. A. Hilbert (2024). "Distinct routes to thermotolerance in the fungal pathogen Cryptococcus neoformans." bioRxiv: 2024.2004. 2008.588590.</t>
  </si>
  <si>
    <t>Scirè, M., E. Motta and L. D’Amico (2011). "Behaviour of Heterobasidion annosum and Heterobasidion irregulare isolates from central Italy in inoculated Pinus pinea seedlings." Mycological Progress 10(1): 85-91.</t>
  </si>
  <si>
    <t>Segers, F. (2017). Growth of indoor fungi under changing water conditions. PhD, Utrecht University,.</t>
  </si>
  <si>
    <t>Seib, T., K. Fischer, A. M. Sturm and D. Stephan (2023). "Investigation on the Influence of Production and Incubation Temperature on the Growth, Virulence, Germination, and Conidial Size of Metarhizium brunneum for Granule Development." Journal of Fungi 9(6): 668.</t>
  </si>
  <si>
    <t>Selbmann, L., G. De Hoog, A. Mazzaglia, E. I. Friedmann and S. Onofri (2005). "Fungi at the edge of life: cryptoendolithic black fungi from Antarctic desert." Stud Mycol 51(1): 1-32.</t>
  </si>
  <si>
    <t>Selbmann, L., G. De Hoog, L. Zucconi, D. Isola, S. Ruisi, A. Van Den Ende, C. Ruibal, F. De Leo, C. Urzì and S. Onofri (2008). "Drought meets acid: three new genera in a dothidealean clade of extremotolerant fungi." Studies in mycology 61(1): 1-20.</t>
  </si>
  <si>
    <t>Selbmann, L., M. Grube, S. Onofri, D. Isola and L. Zucconi (2013). "Antarctic Epilithic Lichens as Niches for Black Meristematic Fungi." Biology 2(2): 784-797.</t>
  </si>
  <si>
    <t>Selouane, A., D. Bouya, A. Lebrihi, C. Decock and A. Bouseta (2009). "Impact of some environmental factors on growth and production of ochratoxin A of/by Aspergillus tubingensis, A. niger, and A. carbonarius isolated from Moroccan grapes." The Journal of Microbiology 47: 411-419.</t>
  </si>
  <si>
    <t>Shang, Y., G. Xiao, P. Zheng, K. Cen, S. Zhan and C. Wang (2016). "Divergent and Convergent Evolution of Fungal Pathogenicity." Genome Biology and Evolution 8(5): 1374-1387.</t>
  </si>
  <si>
    <t>Shanmugam, G., J. Jeon and J.-W. Hyun (2019). "Draft Genome Sequences of Elsinoë fawcettii and Elsinoë australis Causing Scab Diseases on Citrus." Molecular Plant-Microbe Interactions® 33(2): 135-137.</t>
  </si>
  <si>
    <t>Shanmugapackiam, S., S. Irulandi, P. M. Sankar, A. Nagaraja and T. Raguchander (2019). "Cultural, morphological, physiological and biochemical characteristics of Magnaporthe grisea isolates of finger millet." Int. J. Curr. Microbiol. App. Sci 8(8): 1830-1845.</t>
  </si>
  <si>
    <t>Shea, T., T. Mohabir Jason, T. Kurbessoian, B. Berdy, J. Fontaine, A. Gnirke, J. Livny, E. Stajich Jason and A. Cuomo Christina (2023). "Genome Sequence of Lichtheimia ornata, an Emerging Opportunistic Mucorales Pathogen." Microbiology Resource Announcements 12(7): e00338-00323.</t>
  </si>
  <si>
    <t>Shen, L., R. Cang, G. Yang, A. Zeng, H. Huang and Z. Zhang (2020). "Aureobasidium subglaciale F134 is a bifunctional whole-cell biocatalyst for Baeyer–Villiger oxidation or selective carbonyl reduction controllable by temperature." Chinese Journal of Chemical Engineering 28(12): 3044-3051.</t>
  </si>
  <si>
    <t>Shi XiangPeng, S. X., X. L. Xu Liu, L. T. Liu Tao, L. B. Li BaoHua, L. W. Liang WenXing and W. C. Wang CaiXia (2015). "Influences of temperature on growth, lesion expansion and toxin production of Valsa mali var. pyri."</t>
  </si>
  <si>
    <t>Shu, C.-H., K.-J. Lin and B.-J. Wen (2007). "Effects of culture temperature on the production of bioactive polysaccharides by Agaricus blazei in batch cultures." Journal of Chemical Technology &amp; Biotechnology 82(9): 831-836.</t>
  </si>
  <si>
    <t>Siebecker, B. (2021). Characterization and optimization of Thermothelomyces thermophilus as fungal production host. Dr.Ing., Technische Universitaet Berlin</t>
  </si>
  <si>
    <t>Silar, P. (2020). Podospora anserina. Paris, France, HAL Open Science.</t>
  </si>
  <si>
    <t>Silva Junior, W. J. d., R. M. Falcão, L. C. d. Sousa-Paula, N. Sbaraini, W. A. d. S. Vieira, W. G. Lima, S. d. S. L. Paiva Junior, C. C. Staats, A. Schrank, A. M. Benko-Iseppon, V. d. Q. Balbino and M. P. S. Câmara (2018). "Draft genome assembly of Colletotrichum musae, the pathogen of banana fruit." Data in Brief 17: 256-260.</t>
  </si>
  <si>
    <t>Silva Tony, M., A.-A. Derlene, C. A. F. Azevedo, S. R. Da, B. Mauricio and G. Eleni (2005). "Production of saccharogenic and dextrinogenic amylases by Rhizomucor pusillus A 13.36." Journal of Microbiology 43(6): 561-568.</t>
  </si>
  <si>
    <t>Simkin, M. B. and B. E. J. Wheeler (1974). "The development of Puccinia hordei on barley cv. Zephyr." Annals of Applied Biology 78(3): 225-235.</t>
  </si>
  <si>
    <t>Simpson, B. and A. J. Hayes (1978). "Growth of Marssonina brunnea." Transactions of the British Mycological Society 70(2): 249-255.</t>
  </si>
  <si>
    <t>Singh, K. V. and S. C. Agrawal (1982). "Nutritional requirements of keratinophilic fungi and dermatophytes for conidial germination." Mycopathologia 80(1): 27-32.</t>
  </si>
  <si>
    <t>Skoropad, W. (1967). "Effect of temperature on the ability of Colletotrichum graminicola to form appressoria and penetrate barley leaves." Canadian Journal of Plant Science 47(4): 431-434.</t>
  </si>
  <si>
    <t>Sloand, E., B. Laughton, M. Armstrong, M. S. Bartlett, W. Blumenfeld, M. Cushion, A. Kalica, J. A. Kovacs, W. Martin and E. Pitt (1993). "The Challenge of Pneumocystis carinii Culture 1." Journal of Eukaryotic Microbiology 40(2): 188-195.</t>
  </si>
  <si>
    <t>Soesanto, L. and A. J. Termorshuizen (2001). "Effect of Temperature on the Formation of Microsclerotia of Verticillium dahliae." Journal of Phytopathology 149(11-12): 685-691.</t>
  </si>
  <si>
    <t>Song, Y., W. W. Laureijssen-Van De Sande, L. F. Moreno, B. Gerrits van den Ende, R. Li and S. De Hoog (2017). "Comparative ecology of capsular Exophiala species causing disseminated infection in humans." Frontiers in Microbiology 8: 2514.</t>
  </si>
  <si>
    <t>Sousa-Silva, M., D. Vieira, P. Soares, M. Casal and I. Soares-Silva (2021). "Expanding the Knowledge on the Skillful Yeast Cyberlindnera jadinii." Journal of Fungi 7(1): 36.</t>
  </si>
  <si>
    <t>Srivastava, R. K., C. S, S. S. HS, R. B. Singh, R. Sharma, T. S. C, S. Bollam and V. R. Lachagari (2024). "Decoding the genome of the pearl millet pathogen Sclerospora graminicola unveils the molecular strategies underlying its pathogenesis and evolution." Access Microbiology.</t>
  </si>
  <si>
    <t>Srivastava, S. K., L. M. Knight, M. Nakhla and Z. G. Abad (2021). "Genome Resources for the Ex-Type of Phytophthora citricola, and Well-Authenticated Isolates of P. hibernalis, P. nicotianae, and P. syringae." Phytopathology® 112(4): 953-955.</t>
  </si>
  <si>
    <t>Stanier, R. (1942). "The cultivation and nutrient requirements of a chytridiaceous fungus, Rhizophlyctis rosea." Journal of Bacteriology 43(4): 499-520.</t>
  </si>
  <si>
    <t>Stanoeva, Y. and I. Ilıev (2014). "Dynamics of distribution of the cause agent of powdery mildew Blumeria graminis tritici on wheat during 2005-2009." Türk Tarım ve Doğa Bilimleri Dergisi 1(Özel Sayı-2): 1863-1869.</t>
  </si>
  <si>
    <r>
      <t>Steels, H., S. A. James, I. N. Roberts and M. Stratford (1999). "Zygosaccharomyces lentus: a significant new osmophilic, preservative</t>
    </r>
    <r>
      <rPr>
        <sz val="11"/>
        <color theme="1"/>
        <rFont val="Cambria Math"/>
        <family val="1"/>
      </rPr>
      <t>‐</t>
    </r>
    <r>
      <rPr>
        <sz val="11"/>
        <color theme="1"/>
        <rFont val="Aptos"/>
        <family val="2"/>
      </rPr>
      <t>resistant spoilage yeast, capable of growth at low temperature." Journal of Applied Microbiology 87(4): 520-527.</t>
    </r>
  </si>
  <si>
    <t>Steins, L., M. A. Guerreiro, M. Duhamel, F. Liu, Q.-M. Wang, T. Boekhout and D. Begerow (2023). "Comparative genomics of smut fungi suggest the ability of meiosis and mating in asexual species of the genus Pseudozyma (Ustilaginales)." BMC Genomics 24(1): 321.</t>
  </si>
  <si>
    <t>Sterflinger, K. (1998). "Temperature and NaCl- tolerance of rock-inhabiting meristematic fungi." Antonie van Leeuwenhoek 74(4): 271-281.</t>
  </si>
  <si>
    <t>Stringer, J. R. and M. T. Cushion (1998). "II. The genome of Pneumocystis carinii." FEMS Immunology &amp; Medical Microbiology 22(1-2): 15-26.</t>
  </si>
  <si>
    <t>Su, Y., X. Jiang, W. Wu, M. Wang, M. I. Hamid, M. Xiang and X. Liu (2016). "Genomic, Transcriptomic, and Proteomic Analysis Provide Insights Into the Cold Adaptation Mechanism of the Obligate Psychrophilic Fungus Mrakia psychrophila." G3 Genes|Genomes|Genetics 6(11): 3603-3613.</t>
  </si>
  <si>
    <t>Sugawara, K. and Y. Sugano (2023). "Genome Sequence of Bjerkandera adusta Strain Dec 1, a Basidiomycete Secreting DyP-Type Peroxidase." Microbiology Resource Announcements 12(1): e01049-01022.</t>
  </si>
  <si>
    <t>Sugui, J. A., D. C. Vinh, G. Nardone, Y. R. Shea, Y. C. Chang, A. M. Zelazny, K. A. Marr, S. M. Holland and K. J. Kwon-Chung (2010). "Neosartorya udagawae (Aspergillus udagawae), an Emerging Agent of Aspergillosis: How Different Is It from Aspergillus fumigatus?" Journal of Clinical Microbiology 48(1): 220-228.</t>
  </si>
  <si>
    <t>Suh, H.-W. and D. L. Crawford (1991). "Effects of Varying Nutritional and Cultural Conditions on Growth of the Ectomycorrhizal Fungus Pisolithus tinctorius SMF." Journal of Microbiology and Biotechnology 1(2): 121-125.</t>
  </si>
  <si>
    <t>Sun, T., R. Wang, D. Sun, S. Li, H. Xu, Y. Qiu, P. Lei, L. Sun, X. Xu and Y. Zhu (2020). "High-efficiency production of Tremella aurantialba polysaccharide through basidiospore fermentation." Bioresource Technology 318: 124268.</t>
  </si>
  <si>
    <t>Sun, T., Y. Zhang, H. Jiang, K. Yang, S. Wang, R. Wang, S. Li, P. Lei, H. Xu, Y. Qiu and D. Sun (2022). "Whole Genome Sequencing and Annotation of Naematelia aurantialba (Basidiomycota, Edible-Medicinal Fungi)." Journal of Fungi 8(1): 6.</t>
  </si>
  <si>
    <t>Suresh, S., S. Annaiyan, C. Subramanian Shobana, A. Mohamed AlGarawi, A. Atef Hatamleh and S. Arokiyaraj (2024). "Isolation, characterization, and predatory activity of nematode-trapping fungus, Arthrobotrys oligospora PSGSS01." Journal of King Saud University - Science 36(8): 103297.</t>
  </si>
  <si>
    <t>Szebenyi, C., Y. Gu, T. Gebremariam, S. Kocsubé, S. Kiss-Vetráb, O. Jáger, R. Patai, K. Spisák, R. Sinka, U. Binder, M. Homa, C. Vágvölgyi, S. Ibrahim Ashraf, G. Nagy and T. Papp (2023). "cotH Genes Are Necessary for Normal Spore Formation and Virulence in Mucor lusitanicus." mBio 14(1): e03386-03322.</t>
  </si>
  <si>
    <t>Tajuddin, N. F. N. (2018). Temperature-dependent growth rates and relative activity of extracellular hydrolytic enzymes in a tropical fungal strain of Fusarium equiseti and polar strains of Pseudogymnoascus spp, University of Malaya (Malaysia).</t>
  </si>
  <si>
    <t>Tanimura, A., T. Nakamura, I. Watanabe, J. Ogawa and J. Shima (2012). "Isolation of a novel strain of Candida shehatae for ethanol production at elevated temperature." SpringerPlus 1(1): 27.</t>
  </si>
  <si>
    <t>Tanji, M., M. Kinoshita, H. Yada, M. YAMANE, Y. KAKUTA, H. MOTOSHIMA, Y. ODA and M. OHNISHI (2004). "Effects of growth temperature on cerebroside content and chemical composition in Kluyveromyces lactis." Journal of Oleo Science 53(3): 127-133.</t>
  </si>
  <si>
    <t>Tapia-Vázquez, I., R. Sánchez-Cruz, M. Arroyo-Domínguez, V. Lira-Ruan, A. Sánchez-Reyes, M. del Rayo Sánchez-Carbente, D. Padilla-Chacón, R. A. Batista-García and J. L. Folch-Mallol (2020). "Isolation and characterization of psychrophilic and psychrotolerant plant-growth promoting microorganisms from a high-altitude volcano crater in Mexico." Microbiological Research 232: 126394.</t>
  </si>
  <si>
    <t>Tasar, O. C., S. Erdal and M. Taskin (2016). "Chitosan production by psychrotolerant Rhizopus oryzae in non-sterile open fermentation conditions." International Journal of Biological Macromolecules 89: 428-433.</t>
  </si>
  <si>
    <t>Tashiro, N., A. Urakawa, K. Shoji, Y. Matsuo and T. Sato (2018). "Postharvest anthracnose on Satsuma mandarin orange caused by Colletotrichum fioriniae." Journal of General Plant Pathology 84(5): 381-385.</t>
  </si>
  <si>
    <t>Tavares, S., A. P. Ramos, A. S. Pires, H. G. Azinheira, P. Caldeirinha, T. Link, R. Abranches, M. d. C. Silva, R. T. Voegele and J. Loureiro (2014). "Genome size analyses of Pucciniales reveal the largest fungal genomes." Frontiers in plant science 5: 422.</t>
  </si>
  <si>
    <t>Tedford, E. C., B. A. Jaffee and A. E. Muldoon (1995). "Effect of Temperature on Infection of the Cyst Nematode Heterodera schachtii by the Nematophagous Fungus Hirsutella rhossiliensis." Journal of Invertebrate Pathology 66(1): 6-10.</t>
  </si>
  <si>
    <t>Terashima, Y. (1994). "Change in medium components and colony morphology due to mycelial growth of ectomycorrhizal fungusTricholoma bakamatsutake." Mycoscience 35(2): 153-159.</t>
  </si>
  <si>
    <t>Thomas, A. (2016). Microorganisms in sea ice melt pools as a source of ultra-violet radiation absorbing metabolites. Master of Science, University of Prince Edward Island.</t>
  </si>
  <si>
    <t>Tian, X., T. Sun, R. Lin, R. Liu, Y. Yang, B. Xie and Z. Mao (2022). "Genome Sequence Resource of Sarocladium terricola TR, an Endophytic Fungus as a Potential Biocontrol Agent Against Meloidogyne incognita." Molecular Plant-Microbe Interactions® 35(6): 505-508.</t>
  </si>
  <si>
    <t>Tian, Y., Y. Zhao, X. Fu, C. Yu, K. Gao and H. Liu (2021). "Isolation and Identification of Talaromyces sp. Strain Q2 and Its Biocontrol Mechanisms Involved in the Control of Fusarium Wilt." Frontiers in Microbiology 12.</t>
  </si>
  <si>
    <t>Tonomura, H. (1978). Flammulina velutipes. The Biology and Cultivation of Edible Mushrooms. S. T. Chang and W. A. Hayes. Tierra del Fuego, Academic Press</t>
  </si>
  <si>
    <t>Torii, M., H. Masuya and T. Hattori (2021). "Temperature Characteristics of Two Fomitiporia Fungi Determine Their Geographical Distributions in Japan." Forests 12(11): 1580.</t>
  </si>
  <si>
    <t>Torp, M. and H. I. Nirenberg (2004). "Fusarium langsethiae sp. nov. on cereals in Europe." International Journal of Food Microbiology 95(3): 247-256.</t>
  </si>
  <si>
    <t>Touchette, D., I. Altshuler, C. Gostinčar, P. Zalar, I. Raymond-Bouchard, J. Zajc, C. P. McKay, N. Gunde-Cimerman and L. G. Whyte (2021). "Novel Antarctic yeast adapts to cold by switching energy metabolism and increasing small RNA synthesis." The ISME Journal 16(1): 221-232.</t>
  </si>
  <si>
    <t>Traeger, S. and M. Nowrousian (2015). "Functional Analysis of Developmentally Regulated Genes chs7 and sec22 in the Ascomycete Sordaria macrospora." G3 Genes|Genomes|Genetics 5(6): 1233-1245.</t>
  </si>
  <si>
    <t>Travassos, L. R. R. G. and A. Cury (1971). "Thermophilic Enteric Yeasts." Annual Review of Microbiology 25(Volume 25): 49-74.</t>
  </si>
  <si>
    <t>Tsuji, M. (2023). "Survey on Fungi in Antarctica and High Arctic Regions, and Their Impact on Climate Change." Climate 11(9): 195.</t>
  </si>
  <si>
    <t>Tsuji, M., J.-i. Ishihara, Y. Gotoh, T. Hayashi and H. Takahashi (2022). "Draft Genome Sequences of Five Cystobasidium ongulense Strains Isolated from Areas near Syowa Station, East Antarctica." Microbiology Resource Announcements 11(7): e00224-00222.</t>
  </si>
  <si>
    <t>Tsuji, M., S. Kudoh and T. Hoshino (2015). "Draft Genome Sequence of Cryophilic Basidiomycetous Yeast Mrakia blollopis SK-4, Isolated from an Algal Mat of Naga-ike Lake in the Skarvsnes Ice-Free Area, East Antarctica." Genome Announcements 3(1): e01454-01414.</t>
  </si>
  <si>
    <t>Tsuji, M., Y. Tanabe, W. F. Vincent and M. Uchida (2019). "Mrakia hoshinonis sp. nov., a novel psychrophilic yeast isolated from a retreating glacier on Ellesmere Island in the Canadian High Arctic." International Journal of Systematic and Evolutionary Microbiology 69(4): 944-948.</t>
  </si>
  <si>
    <t>Turchetti, B., P. Buzzini and M. Baeza (2022). "A genomic approach to analyze the cold adaptation of yeasts isolated from Italian Alps." Frontiers in Microbiology 13: 1026102.</t>
  </si>
  <si>
    <t>Turchetti, B., G. Marconi, C. Sannino, P. Buzzini and E. Albertini (2020). "DNA Methylation Changes Induced by Cold in Psychrophilic and Psychrotolerant Naganishia Yeast Species." Microorganisms 8(2): 296.</t>
  </si>
  <si>
    <t>Valík, Ľ., P. Ačai and D. Liptáková (2017). "Modelling the effects of lactic acid, sodium benzoate and temperature on the growth of Candida maltosa." Letters in Applied Microbiology 65(5): 453-460.</t>
  </si>
  <si>
    <t>Van Uden, N. (1985). Temperature Profiles of Yeasts. Advances in Microbial Physiology. A. H. Rose and D. W. Tempest, Academic Press. 25: 195-251.</t>
  </si>
  <si>
    <t>Vaquera, S., A. Patriarca and V. Fernández Pinto (2014). "Water activity and temperature effects on growth of Alternaria arborescens on tomato medium." International Journal of Food Microbiology 185: 136-139.</t>
  </si>
  <si>
    <t>Vieira, Í. S., I. d. C. Oliveira, A. K. Campos and J. V. d. Araújo (2020). "In vitro biological control of bovine parasitic nematodes by Arthrobotrys cladodes, Duddingtonia flagrans and Pochonia chlamydosporia under different temperature conditions." Journal of Helminthology 94: e194.</t>
  </si>
  <si>
    <t>Viejobueno, J., B. de los Santos, M. Camacho-Sanchez, A. Aguado, M. Camacho and S. M. Salazar (2022). "Phenotypic Variability and Genetic Diversity of the Pathogenic Fungus Macrophomina phaseolina from Several Hosts and Host Specialization in Strawberry." Current Microbiology 79(7): 189.</t>
  </si>
  <si>
    <t>Vilich-Meller, V. (1992). "Pseudocercosporella herpotrichoides, Fusarium spp. and Rhizoctonia cerealis stem rot in pure stands and interspecific mixtures of cereals." Crop Protection 11(1): 45-50.</t>
  </si>
  <si>
    <t>Vishniac, H. S. and W. P. Hempfling (1979). "Cryptococcus vishniacii sp. nov., an Antarctic Yeast." International Journal of Systematic and Evolutionary Microbiology 29(2): 153-158.</t>
  </si>
  <si>
    <t>Viswanath-Reddy, M. and G. Turian (1975). "Physiological Changes during Protoperithecial Differentiation in Neurospora tetrasperma." Physiologia Plantarum 35(2): 166-174.</t>
  </si>
  <si>
    <t>Vu, V. H., S. I. Hong and K. Kim (2007). "Selection of Entomopathogenic Fungi for Aphid Control." Journal of Bioscience and Bioengineering 104(6): 498-505.</t>
  </si>
  <si>
    <t>Wang, F., R. Han and S. Chen (2023). "An Overlooked and Underrated Endemic Mycosis—Talaromycosis and the Pathogenic Fungus Talaromyces marneffei." Clinical Microbiology Reviews 36(1): e00051-00022.</t>
  </si>
  <si>
    <t>Wang, J.-C., S.-H. Hu, Z.-C. Liang and C.-J. Yeh (2005). "Optimization for the production of water-soluble polysaccharide from Pleurotus citrinopileatus in submerged culture and its antitumor effect." Applied Microbiology and Biotechnology 67(6): 759-766.</t>
  </si>
  <si>
    <t>Wang, J., Q. Gao and J. Bao (2016). "Genome sequence of Trichosporon cutaneum ACCC 20271: An oleaginous yeast with excellent lignocellulose derived inhibitor tolerance." Journal of Biotechnology 228: 50-51.</t>
  </si>
  <si>
    <t>Wang, X., J. Peng, L. Sun, G. Bonito, J. Wang, W. Cui, Y. Fu and Y. Li (2019). "Genome Sequencing Illustrates the Genetic Basis of the Pharmacological Properties of Gloeostereum incarnatum." Genes 10(3): 188.</t>
  </si>
  <si>
    <t>Wang, Y., Y.-F. Liu, D.-X. Tang, Y.-B. Wang, A. E. M. Adams and H. Yu (2022). "Tolypocladium reniformisporum sp. nov. and Tolypocladium cylindrosporum (Ophiocordycipitaceae, Hypocreales) co-occurring on Ophiocordyceps sinensis." Mycological Progress 21(1): 199-214.</t>
  </si>
  <si>
    <t>Wang, Y., R. Vazquez-Duhalt and M. A. Pickard (2001). "Effect of growth conditions on the production of manganese peroxidase by three strains of Bjerkandera adusta." Canadian journal of microbiology 47(4): 277-282.</t>
  </si>
  <si>
    <t>Wang, Z., J. Bao, L. Lv, L. Lin, Z. Li, M. Shi, Y. Huang, R. Wang, B. Li, P. Liu and Q. Chen (2021). "Genome Sequence Resource of Phytophthora colocasiae from China Using Nanopore Sequencing Technology." Plant Disease 105(12): 4141-4145.</t>
  </si>
  <si>
    <t>Ward, E. W. B. (1966). "Preliminary studies of the physiology of Sclerotinia borealis, a highly psychrophilic fungus." Canadian Journal of Botany 44(3): 237-246.</t>
  </si>
  <si>
    <t>Wei, X., Z. Chi, G.-L. Liu, Z. Hu and Z.-M. Chi (2021). "The Genome-Wide Mutation Shows the Importance of Cell Wall Integrity in Growth of the Psychrophilic Yeast Metschnikowia australis W7-5 at Different Temperatures." Microbial Ecology 81(1): 52-66.</t>
  </si>
  <si>
    <t>Wendland, J. and A. Walther (2014). "Chromosome Number Reduction in Eremothecium coryli by Two Telomere-to-Telomere Fusions." Genome Biology and Evolution 6(5): 1186-1198.</t>
  </si>
  <si>
    <t>Whiting, E., A. Khan and W. Gubler (2001). "Effect of temperature and water potential on survival and mycelial growth of Phaeomoniella chlamydospora and Phaeoacremonium spp." Plant Disease 85(2): 195-201.</t>
  </si>
  <si>
    <t>Winans, M. J., Y. Yamamoto, Y. Fujimaru, Y. Kusaba, J. E. G. Gallagher and H. Kitagaki (2020). "Saccharomyces arboricola and Its Hybrids’ Propensity for Sake Production: Interspecific Hybrids Reveal Increased Fermentation Abilities and a Mosaic Metabolic Profile." Fermentation 6(1): 14.</t>
  </si>
  <si>
    <t>Wingfield, B. D., G. F. Bills, Y. Dong, W. Huang, W. J. Nel, B. S. Swalarsk-Parry, N. Vaghefi, P. M. Wilken, Z. An, Z. W. de Beer, L. De Vos, L. Chen, T. A. Duong, Y. Gao, A. Hammerbacher, J. R. Kikkert, Y. Li, H. Li, K. Li, Q. Li, X. Liu, X. Ma, K. Naidoo, S. J. Pethybridge, J. Sun, E. T. Steenkamp, M. A. van der Nest, S. van Wyk, M. J. Wingfield, C. Xiong, Q. Yue and X. Zhang (2018). "Draft genome sequence of Annulohypoxylon stygium, Aspergillus mulundensis, Berkeleyomyces basicola (syn. Thielaviopsis basicola), Ceratocystis smalleyi, two Cercospora beticola strains, Coleophoma cylindrospora, Fusarium fracticaudum, Phialophora cf. hyalina, and Morchella septimelata." IMA Fungus 9(1): 199-223.</t>
  </si>
  <si>
    <t>Wu, G., T. A. Schuelke, G. Iriarte and K. Broders (2020). "The genome of the butternut canker pathogen, Ophiognomonia clavigignenti-juglandacearum shows an elevated number of genes associated with secondary metabolism and protection from host resistance responses." PeerJ 8: e9265.</t>
  </si>
  <si>
    <t>Xia, C., J. Zhang, W. Zhang and B. Hu (2011). "A new cultivation method for microbial oil production: cell pelletization and lipid accumulation by Mucor circinelloides." Biotechnology for Biofuels 4(1): 15.</t>
  </si>
  <si>
    <t>Xiang, M., P. a. Xiang, X. Liu and L. Zhang (2010). "Effect of environment on the abundance and activity of the nematophagous fungus Hirsutella minnesotensis in soil." FEMS Microbiology Ecology 71(3): 413-417.</t>
  </si>
  <si>
    <t>Xin, M.-x. and P.-j. Zhou (2007). "Mrakia psychrophila sp. nov., a new species isolated from Antarctic soil." Journal of Zhejiang University SCIENCE B 8(4): 260-265.</t>
  </si>
  <si>
    <t>Xing-Hong, W., Z. Chaobin, F. Pedro and Z. Changhe (2016). "Screening and characterization of Auricularia delicata strain for mushroom production under tropical temperature conditions to make use of rubberwood sawdust." Research Journal of Biotechnology Vol 11: 11.</t>
  </si>
  <si>
    <t>Xu, H., L.-P. Sun, Y.-Z. Shi, Y.-H. Wu, B. Zhang and D.-Q. Zhao (2008a). "Optimization of cultivation conditions for extracellular polysaccharide and mycelium biomass by Morchella esculenta As51620." Biochemical Engineering Journal 39(1): 66-73.</t>
  </si>
  <si>
    <t>Xu, M.-l., J.-j. Zhu, H.-z. Kang, A.-h. Xu, J.-x. Zhang and F.-q. Li (2008b). "Optimum conditions for pure culture of major ectomycorrhizal fungi obtained from Pinus sylvestris var. mongolica plantations in southeastern Keerqin sandy lands, China." Journal of Forestry Research 19(2): 113-118.</t>
  </si>
  <si>
    <t>Yan, H. and B. Nelson Jr (2020). "Effect of temperature on Fusarium solani and F. tricinctum growth and disease development in soybean." Canadian Journal of Plant Pathology 42(4): 527-537.</t>
  </si>
  <si>
    <t>Yan, J., Y. Chen, J. Niu, D. Chen and I. Chagan (2015). "Laccase produced by a thermotolerant strain of Trametes trogii LK13." Brazilian journal of microbiology 46(1): 59-65.</t>
  </si>
  <si>
    <t>Yan, L., Z. Wang, W. Song, P. Fan, Y. Kang, Y. Lei, L. Wan, D. Huai, Y. Chen, X. Wang, H. Sudini and B. Liao (2021). "Genome sequencing and comparative genomic analysis of highly and weakly aggressive strains of Sclerotium rolfsii, the causal agent of peanut stem rot." BMC Genomics 22(1): 276.</t>
  </si>
  <si>
    <t>Yan, M., D. Zhai, Q. Li, M. Zhang, N. Jiang, J. Liu, C. Song, X. Shang, H. Chen and H. Yu (2024). "Comparative Analysis of Main Agronomic Traits of Different Pleurotus giganteus Germplasm Resources." Life 14(2): 238.</t>
  </si>
  <si>
    <t>Yang, D., T. Luo, J. Wei, C. Cao, G. Li and L. Yang (2022). "High-Quality Genome Resource of the Phytopathogenic Fungus Sclerotinia minor LC41, the Causal Agent of Sclerotinia Blight on Lettuce in China." Plant Disease 106(3): 1042-1044.</t>
  </si>
  <si>
    <t>Yang, L., G. Gao, W. Gao, C. Zhang, F. Wu, J. Huo and Y. Wang (2023). "Complete Genome Sequence Resource for Cercospora apii Causing Leaf Spot of Celery." Molecular Plant-Microbe Interactions® 36(10): 670-673.</t>
  </si>
  <si>
    <t>Yazdanparast, S. A., S. Mohseni, G. S. De Hoog, N. Aslani, A. Sadeh and H. Badali (2017). "Consistent high prevalence of Exophiala dermatitidis, a neurotropic opportunist, on railway sleepers." Journal de Mycologie Médicale 27(2): 180-187.</t>
  </si>
  <si>
    <t>Yin, L., Y. An, J. Qu, X. Li, Y. Zhang, I. Dry, H. Wu and J. Lu (2017). "Genome sequence of Plasmopara viticola and insight into the pathogenic mechanism." Scientific Reports 7(1): 46553.</t>
  </si>
  <si>
    <t>Yonow, T., J. Ramirez-Villegas, C. Abadie, R. E. Darnell, N. Ota and D. J. Kriticos (2019). "Black Sigatoka in bananas: Ecoclimatic suitability and disease pressure assessments." PLoS One 14(8): e0220601.</t>
  </si>
  <si>
    <t>Yoon, J.-A., Y.-J. Lee, E.-H. Park, H.-J. Kwon and M.-D. Kim (2022). "Draft genome sequence data of multi-stress tolerant yeast Millerozyma farinosa KCTC27753 isolated from nuruk." Data in Brief 42: 108030.</t>
  </si>
  <si>
    <t>Yu, H., M. Zhang, Y. Sun, Q. Li, J. Liu, C. Song, X. Shang, Q. Tan, L. Zhang and H. Yu (2022). "Whole-genome sequence of a high-temperature edible mushroom Pleurotus giganteus (zhudugu)." Frontiers in Microbiology 13.</t>
  </si>
  <si>
    <t>Yu, W., Y. Wang, L. Hu, J. Xu, J. Yan, P. Cao, C. Liu, X. Shi, C. Liu, Y. Jiang and Y. Zhou (2024) "The Identification of Kabatiella zeae as a Causal Agent of Northern Anthracnose of Sorghum in China and Estimation of Host Resistance." Plants 13 DOI: 10.3390/plants13131857.</t>
  </si>
  <si>
    <t>Yuyama, K. T., J. Pereira, C. S. Maki and N. K. Ishikawa (2013). "Daldinia eschscholtzii (Ascomycota, Xylariaceae) isolated from the Brazilian Amazon: taxonomic features and mycelial growth conditions." Acta Amazonica 43: 1-8.</t>
  </si>
  <si>
    <t>Zadražil, F. and H. Brunnert (1982). "Solid state fermentation of lignocellulose containing plant residues withSporotrichum pulverulentum Nov. andDichomitus squalens (Karst.) Reid." European journal of applied microbiology and biotechnology 16(1): 45-51.</t>
  </si>
  <si>
    <t>Zalar, P. d., G. De Hoog, H.-J. Schroers, P. Crous, J. Groenewald and N. Gunde-Cimerman (2007). "Phylogeny and ecology of the ubiquitous saprobe Cladosporium sphaerospermum, with descriptions of seven new species from hypersaline environments." Studies in mycology 58(1): 157-183.</t>
  </si>
  <si>
    <t>Zhang, D., J.-Y. He, P. Haddadi, J.-H. Zhu, Z.-H. Yang and L. Ma (2018a). "Genome sequence of the potato pathogenic fungus Alternaria solani HWC-168 reveals clues for its conidiation and virulence." BMC Microbiology 18(1): 176.</t>
  </si>
  <si>
    <t>Zhang, N., G. Cai, D. C. Price, J. A. Crouch, P. Gladieux, B. Hillman, C. H. Khang, M.-H. LeBrun, Y.-H. Lee, J. Luo, H. Qiu, D. Veltri, J. H. Wisecaver, J. Zhu and D. Bhattacharya (2018b). "Genome wide analysis of the transition to pathogenic lifestyles in Magnaporthales fungi." Scientific Reports 8(1): 5862.</t>
  </si>
  <si>
    <t>Zhang XiaoFei, Z. X., C. L. Cui LiNa, L. X. Li Xiao, Z. C. Zou ChengJia and Y. X. Yang XiaoRong (2013). "Biological characters and resistance study of maize leaf spot caused by Bipolaris zeicola in Southwest China."</t>
  </si>
  <si>
    <t>Zhao, C., X.-l. Feng, Z.-x. Wang and J. Qi (2023a). "The First Whole Genome Sequencing of Agaricus bitorquis and Its Metabolite Profiling." Journal of Fungi 9(4): 485.</t>
  </si>
  <si>
    <t>Zhao, D., F. Zhuang, C. Ou, Y. Zhang and X. Liu (2023b). "Complete genome sequence of the carrot black rot pathogen Alternaria radicina isolate CBR2." Microbial Pathogenesis 185: 106421.</t>
  </si>
  <si>
    <t>Zhou, P., G. Zhang, S. Chen, Z. Jiang, Y. Tang, B. Henrissat, Q. Yan, S. Yang, C.-F. Chen, B. Zhang and Z. Du (2014). "Genome sequence and transcriptome analyses of the thermophilic zygomycete fungus Rhizomucor miehei." BMC Genomics 15(1): 294.</t>
  </si>
  <si>
    <t>Zhou, Z., X. Yang, C. Wu, Z. Chen and T. Dai (2022). "Whole-Genome Sequence Resource of Phytophthora pini, the Causal Pathogen of Foliage Blight and Shoot Dieback of Rhododendron pulchrum." Molecular Plant-Microbe Interactions® 35(10): 944-948.</t>
  </si>
  <si>
    <t>Zhu, B., S. Wang, C.-Y. Mi, R.-H. Yang, G.-H. Zen and X.-F. Hu (2019). "Genome Sequence Resource for Ilyonectria mors-panacis, Causing Rusty Root Rot of Panax notoginseng." Molecular Plant-Microbe Interactions® 32(11): 1468-1471.</t>
  </si>
  <si>
    <t>Zhuang, C. J., Q. W. Wang, Q. Q. Wu, Z. L. Qiu, B. C. Xu and C. Q. Zhang (2021). "Diversity of Botryosphaeriaceae Species Associated with Chinese Hickory Tree (Carya cathayensis) Trunk Cankers." Plant Disease 105(12): 3869-3879.</t>
  </si>
  <si>
    <t>Zimmermann, G. (2007). "Review on safety of the entomopathogenic fungi Beauveria bassiana and Beauveria brongniartii." Biocontrol Science and Technology 17(6): 553-596.</t>
  </si>
  <si>
    <t>Zimmermann, G. (2008). "The entomopathogenic fungi Isaria farinosa (formerly Paecilomyces farinosus) and the Isaria fumosorosea species complex (formerly Paecilomyces fumosoroseus): biology, ecology and use in biological control." Biocontrol Science and Technology 18(9): 865-901.</t>
  </si>
  <si>
    <t>Zohri, A., I. El-Kady and M. Abdel-Galil "Some nutritional and environmental factors affecting progesterone transformation by using Humicola hyalothermophila IMI 204250."</t>
  </si>
  <si>
    <t>COMBINED TEMPERATURES</t>
  </si>
  <si>
    <t>TAXONOMY</t>
  </si>
  <si>
    <t>Complete taxonomy</t>
  </si>
  <si>
    <t>SPECIES</t>
  </si>
  <si>
    <t>Phallus impudicus L. 1753</t>
  </si>
  <si>
    <t>cellular organisms; Eukaryota; Opisthokonta; Fungi; Dikarya; Basidiomycota; Agaricomycotina; Agaricomycetes; Phallomycetidae; Phallales; Phallaceae; Phallus; Phallus impudicus</t>
  </si>
  <si>
    <t xml:space="preserve"> Mucoromycetes</t>
  </si>
  <si>
    <t xml:space="preserve"> Mortierellomycetes</t>
  </si>
  <si>
    <t xml:space="preserve"> Agaricomycetes</t>
  </si>
  <si>
    <t xml:space="preserve"> Blastocladiales</t>
  </si>
  <si>
    <t xml:space="preserve"> Clavicipitaceae</t>
  </si>
  <si>
    <t xml:space="preserve"> Cystobasidiomycetes</t>
  </si>
  <si>
    <t xml:space="preserve"> Tremellomycetes</t>
  </si>
  <si>
    <t xml:space="preserve"> Calcarisporiellales</t>
  </si>
  <si>
    <t xml:space="preserve"> Saccharomycotina</t>
  </si>
  <si>
    <t xml:space="preserve"> Pucciniomycetes</t>
  </si>
  <si>
    <t xml:space="preserve"> Microbotryomycetes</t>
  </si>
  <si>
    <t xml:space="preserve"> Schizosaccharomycetes</t>
  </si>
  <si>
    <t xml:space="preserve"> Malasseziomycetes</t>
  </si>
  <si>
    <t xml:space="preserve"> Ustilaginomycetes</t>
  </si>
  <si>
    <t xml:space="preserve"> Pneumocystomycetes</t>
  </si>
  <si>
    <t xml:space="preserve"> Taphrinomycetes</t>
  </si>
  <si>
    <t xml:space="preserve"> Exobasidiomycetes</t>
  </si>
  <si>
    <t>Current Name</t>
  </si>
  <si>
    <t>Minimum</t>
  </si>
  <si>
    <t>Maximum</t>
  </si>
  <si>
    <t>Number</t>
  </si>
  <si>
    <t>albonectria rigidiuscula</t>
  </si>
  <si>
    <t>Albonectria rigidiuscula (Berk. &amp; Broome) Rossman &amp; Samuels 1999</t>
  </si>
  <si>
    <t>albugo ipomoeae-panduratae</t>
  </si>
  <si>
    <t>Albugo ipomoeae-panduratae (Schwein.) Swingle 1892</t>
  </si>
  <si>
    <t>alternaria alternata</t>
  </si>
  <si>
    <t>alternaria brassicicola</t>
  </si>
  <si>
    <t>alternaria cucumerina</t>
  </si>
  <si>
    <t>Alternaria cucumerina (Ellis &amp; Everh.) J.A. Elliott 1917</t>
  </si>
  <si>
    <t>alternaria humicola</t>
  </si>
  <si>
    <t>Alternaria humicola Oudem. 1902</t>
  </si>
  <si>
    <t>alternaria nelumbii</t>
  </si>
  <si>
    <t>Alternaria nelumbii Enlows &amp; F.V. Rand 1921</t>
  </si>
  <si>
    <t>alternaria nobilis</t>
  </si>
  <si>
    <t>Alternaria nobilis (Vize) E.G. Simmons 2002</t>
  </si>
  <si>
    <t>alternaria panax</t>
  </si>
  <si>
    <t>Alternaria panax Whetzel 1912</t>
  </si>
  <si>
    <t>alternaria peglionii</t>
  </si>
  <si>
    <t>Alternaria peglionii Curzi 1926</t>
  </si>
  <si>
    <t>alternaria solani</t>
  </si>
  <si>
    <t>anthracocystis ehrenbergii</t>
  </si>
  <si>
    <t>Anthracocystis ehrenbergii (J.G. Kühn) McTaggart &amp; R.G. Shivas 2012</t>
  </si>
  <si>
    <t>antrodia heteromorpha</t>
  </si>
  <si>
    <t>Antrodia heteromorpha (Fr.) Donk 1966</t>
  </si>
  <si>
    <t>aphanomyces raphani</t>
  </si>
  <si>
    <t>Aphanomyces raphani J.B. Kendr. 1927</t>
  </si>
  <si>
    <t>armillaria mellea</t>
  </si>
  <si>
    <t>arthuriomyces peckianus</t>
  </si>
  <si>
    <t>Arthuriomyces peckianus (Howe) Cummins &amp; Y. Hirats. 1983</t>
  </si>
  <si>
    <t>ascochyta boehmeriae</t>
  </si>
  <si>
    <t>Ascochyta boehmeriae Woron. 1924</t>
  </si>
  <si>
    <t>ascochyta fagopyri</t>
  </si>
  <si>
    <t>ascochyta gossypiicola</t>
  </si>
  <si>
    <t>Ascochyta gossypiicola Bedlan 2016</t>
  </si>
  <si>
    <t>aspergillus awamori</t>
  </si>
  <si>
    <t>aspergillus carbonarius</t>
  </si>
  <si>
    <t>aspergillus clavatus</t>
  </si>
  <si>
    <t>aspergillus conicus</t>
  </si>
  <si>
    <t>Aspergillus conicus Blochwitz 1914</t>
  </si>
  <si>
    <t>aspergillus fumigatus</t>
  </si>
  <si>
    <t>aspergillus glaucus</t>
  </si>
  <si>
    <t>aspergillus japonicus</t>
  </si>
  <si>
    <t>aspergillus malignus</t>
  </si>
  <si>
    <t>Aspergillus malignus Gedoelst ex Lindt 1889</t>
  </si>
  <si>
    <t>aspergillus neoniveus</t>
  </si>
  <si>
    <t>Aspergillus neoniveus Samson, S.W. Peterson, Frisvad &amp; Varga 2011</t>
  </si>
  <si>
    <t>aspergillus nidulans</t>
  </si>
  <si>
    <t>aspergillus niger</t>
  </si>
  <si>
    <t>aspergillus ochraceus</t>
  </si>
  <si>
    <t>aspergillus terreus</t>
  </si>
  <si>
    <t>aspergillus versicolor</t>
  </si>
  <si>
    <t>asteroma caryae</t>
  </si>
  <si>
    <t>Asteroma caryae (Peck) B. Sutton 1980</t>
  </si>
  <si>
    <t>athelia epiphylla</t>
  </si>
  <si>
    <t>Athelia epiphylla Pers. 1818</t>
  </si>
  <si>
    <t>aureobasidium pullulans</t>
  </si>
  <si>
    <t>bipolaris coicis</t>
  </si>
  <si>
    <t>Bipolaris coicis (Y. Nisik.) Shoemaker 1959</t>
  </si>
  <si>
    <t>bipolaris leersiae</t>
  </si>
  <si>
    <t>Bipolaris leersiae (G.F. Atk.) Shoemaker 1959</t>
  </si>
  <si>
    <t>bipolaris maydis</t>
  </si>
  <si>
    <t>bipolaris panici-miliacei</t>
  </si>
  <si>
    <t>Bipolaris panici-miliacei (Y. Nisik.) Shoemaker 1959</t>
  </si>
  <si>
    <t>bipolaris stenospila</t>
  </si>
  <si>
    <t>Bipolaris stenospila (Drechsler ex Faris) Shoemaker 2018</t>
  </si>
  <si>
    <t>bjerkandera adusta</t>
  </si>
  <si>
    <t>bjerkandera fumosa</t>
  </si>
  <si>
    <t>Bjerkandera fumosa (Pers.) P. Karst. 1879</t>
  </si>
  <si>
    <t>botryobasidium vagum</t>
  </si>
  <si>
    <t>Botryobasidium vagum (Berk. &amp; M.A. Curtis) D.P. Rogers 1935</t>
  </si>
  <si>
    <t>botryosphaeria quercuum</t>
  </si>
  <si>
    <t>Botryosphaeria quercuum (Schwein.) Sacc. 1882</t>
  </si>
  <si>
    <t>botryotinia squamosa</t>
  </si>
  <si>
    <t>Botryotinia squamosa Vienn.-Bourg. 1953</t>
  </si>
  <si>
    <t>botrytis allii</t>
  </si>
  <si>
    <t>Botrytis allii Munn 1917</t>
  </si>
  <si>
    <t>botrytis arachidis</t>
  </si>
  <si>
    <t>Botrytis arachidis (Hanzawa) Seifert &amp; L.M. Kohn 2014</t>
  </si>
  <si>
    <t>botrytis cinerea</t>
  </si>
  <si>
    <t>calonectria morganii</t>
  </si>
  <si>
    <t>Calonectria morganii Crous, Alfenas &amp; M.J. Wingf. 1993</t>
  </si>
  <si>
    <t>ceratocystis ips</t>
  </si>
  <si>
    <t>Ceratocystis ips (Rumbold) C. Moreau 1952</t>
  </si>
  <si>
    <t>ceratocystis minor</t>
  </si>
  <si>
    <t>Ceratocystis minor (Hedgc.) J. Hunt 1956</t>
  </si>
  <si>
    <t>ceratocystis pilifera</t>
  </si>
  <si>
    <t>Ceratocystis pilifera (Fr.) C. Moreau 1952</t>
  </si>
  <si>
    <t>cercospora fusca</t>
  </si>
  <si>
    <t>Cercospora fusca F.V. Rand 1914</t>
  </si>
  <si>
    <t>cercospora nicotianae</t>
  </si>
  <si>
    <t>Cercospora nicotianae Ellis &amp; Everh. 1893</t>
  </si>
  <si>
    <t>cercospora zebrina</t>
  </si>
  <si>
    <t>Cercospora zebrina Pass. 1877</t>
  </si>
  <si>
    <t>ciborinia allii</t>
  </si>
  <si>
    <t>Ciborinia allii (Sawada) L.M. Kohn 1979</t>
  </si>
  <si>
    <t>cladosporium citri</t>
  </si>
  <si>
    <t>Cladosporium citri Massee 1899</t>
  </si>
  <si>
    <t>cladosporium herbarum</t>
  </si>
  <si>
    <t>Cladosporium herbarum (Pers.) Link 1816</t>
  </si>
  <si>
    <t>cochliobolus setariae</t>
  </si>
  <si>
    <t>Cochliobolus setariae (S. Ito &amp; Kurib.) Drechsler ex Dastur 1942</t>
  </si>
  <si>
    <t>colletotrichum carthami</t>
  </si>
  <si>
    <t>Colletotrichum carthami (Fukui) S. Uematsu, Kageyama, Moriwaki &amp; Toy. Sato 2012</t>
  </si>
  <si>
    <t>colletotrichum circinans</t>
  </si>
  <si>
    <t>Colletotrichum circinans (Berk.) Voglino 1907</t>
  </si>
  <si>
    <t>Colletotrichum fructi (F. Stevens &amp; J.G. Hall) Sacc. 1913</t>
  </si>
  <si>
    <t>colletotrichum gloeosporioides</t>
  </si>
  <si>
    <t>colletotrichum glycines</t>
  </si>
  <si>
    <t>Colletotrichum glycines Hori ex Hemmi 1920</t>
  </si>
  <si>
    <t>colletotrichum gossypii</t>
  </si>
  <si>
    <t>Colletotrichum gossypii Southw. 1891</t>
  </si>
  <si>
    <t>colletotrichum japonicum</t>
  </si>
  <si>
    <t>Colletotrichum japonicum (Hemmi) Bedlan 2012</t>
  </si>
  <si>
    <t>colletotrichum orbiculare</t>
  </si>
  <si>
    <t>colletotrichum panacicola</t>
  </si>
  <si>
    <t>Colletotrichum panacicola Uyeda &amp; S. Takim. 1919</t>
  </si>
  <si>
    <t>colletotrichum phaseolorum</t>
  </si>
  <si>
    <t>Colletotrichum phaseolorum S. Takim. 1934</t>
  </si>
  <si>
    <t>coniophora puteana</t>
  </si>
  <si>
    <t>coniothyrium caryogenum</t>
  </si>
  <si>
    <t>Coniothyrium caryogenum F.V. Rand 1914</t>
  </si>
  <si>
    <t>coniothyrium rosarum</t>
  </si>
  <si>
    <t>Coniothyrium rosarum Cooke &amp; Harkn. 1882</t>
  </si>
  <si>
    <t>coniothyrium wernsdorffiae</t>
  </si>
  <si>
    <t>Coniothyrium wernsdorffiae Laubert 1905</t>
  </si>
  <si>
    <t>corynespora cassiicola</t>
  </si>
  <si>
    <t>cronartium ribicola</t>
  </si>
  <si>
    <t>cryphonectria parasitica</t>
  </si>
  <si>
    <t>cryptosporiopsis corticola</t>
  </si>
  <si>
    <t>Cryptosporiopsis corticola (Edgerton) Nannf. 1932</t>
  </si>
  <si>
    <t>cumminsiella mirabilissima</t>
  </si>
  <si>
    <t>Cumminsiella sanguinea (Peck) Arthur 1933</t>
  </si>
  <si>
    <t>curvularia nodulosa</t>
  </si>
  <si>
    <t>Curvularia nodulosa (Sacc.) Manamgoda, Rossman &amp; K.D. Hyde 2014</t>
  </si>
  <si>
    <t>curvularia senegalensis</t>
  </si>
  <si>
    <t>Curvularia senegalensis (Speg.) Subram. 1956</t>
  </si>
  <si>
    <t>curvularia tomato</t>
  </si>
  <si>
    <t>Curvularia tomato (Ellis &amp; Barthol.) Munt.-Cvetk. 1957</t>
  </si>
  <si>
    <t>cytospora japonica</t>
  </si>
  <si>
    <t>Cytospora japonica (Miyabe &amp; Hemmi) X.L. Fan 2019</t>
  </si>
  <si>
    <t>cytospora mali</t>
  </si>
  <si>
    <t>cytospora nivea</t>
  </si>
  <si>
    <t>Cytospora nivea Fuckel 1860</t>
  </si>
  <si>
    <t>dactylaria parasitans</t>
  </si>
  <si>
    <t>daedalea quercina</t>
  </si>
  <si>
    <t>daedaleopsis styracina</t>
  </si>
  <si>
    <t>Lenzites styracinus (Henn. &amp; Shirai) Lloyd 1919</t>
  </si>
  <si>
    <t>diaporthe fukushii</t>
  </si>
  <si>
    <t>Diaporthe fukushii (Tanaka &amp; S. Endô) Dissan., A.J.L. Phillips &amp; K.D. Hyde 2017</t>
  </si>
  <si>
    <t>dichostereum induratum</t>
  </si>
  <si>
    <t>Dichostereum induratum (Berk.) Pilát 1926</t>
  </si>
  <si>
    <t>dichotomophthoropsis nymphaearum</t>
  </si>
  <si>
    <t>Dichotomophthoropsis nymphaearum (F.V. Rand) M.B. Ellis 1971</t>
  </si>
  <si>
    <t>didymella applanata</t>
  </si>
  <si>
    <t>Xenodidymella applanata (Niessl) Qian Chen &amp; L. Cai 2015</t>
  </si>
  <si>
    <t>didymella curtisii</t>
  </si>
  <si>
    <t>Didymella curtisii (Berk.) Qian Chen &amp; L. Cai 2015</t>
  </si>
  <si>
    <t>didymella lycopersici</t>
  </si>
  <si>
    <t>Didymella lycopersici Kleb. 1921</t>
  </si>
  <si>
    <t>dilophospora alopecuri</t>
  </si>
  <si>
    <t>Dilophospora alopecuri (Fr.) Fr. 1849</t>
  </si>
  <si>
    <t>diplocarpon earlianum</t>
  </si>
  <si>
    <t>Diplocarpon fragariae (Lib.) Rossman 2014</t>
  </si>
  <si>
    <t>dipodascus geotrichum</t>
  </si>
  <si>
    <t>dothiora sphaeroides</t>
  </si>
  <si>
    <t>Dothiora sphaeroides (Pers.) Fr. 1849</t>
  </si>
  <si>
    <t>drechslera ocella</t>
  </si>
  <si>
    <t>Drechslera ocella (Faris) Subram. &amp; B.L. Jain 1966</t>
  </si>
  <si>
    <t>drechslera poae</t>
  </si>
  <si>
    <t>Pyrenophora poae (Baudyš) Y. Marín &amp; Crous 2019</t>
  </si>
  <si>
    <t>drechslera yamadae</t>
  </si>
  <si>
    <t>Drechslera yamadae (Y. Nisik.) Subram. &amp; B.L. Jain 1966</t>
  </si>
  <si>
    <t>drepanopeziza ribis</t>
  </si>
  <si>
    <t>Drepanopeziza ribis (Rehm ex Kleb.) Höhn. 1917</t>
  </si>
  <si>
    <t>eballistra oryzae</t>
  </si>
  <si>
    <t>Eballistra oryzae (Syd. &amp; P. Syd.) R. Bauer, Begerow, A. Nagler &amp; Oberw. 2001</t>
  </si>
  <si>
    <t>elsinoe violae</t>
  </si>
  <si>
    <t>Elsinoe violae (Massey &amp; Jenkins) X.L. Fan &amp; Crous 2017</t>
  </si>
  <si>
    <t>endothia fluens</t>
  </si>
  <si>
    <t>Endothia fluens (Sowerby) Shear &amp; N.E. Stevens 1917</t>
  </si>
  <si>
    <t>endothiella singularis</t>
  </si>
  <si>
    <t>Endothiella singularis (Syd. &amp; P. Syd.) Roane 1986</t>
  </si>
  <si>
    <t>entyloma calendulae</t>
  </si>
  <si>
    <t>Entyloma calendulae (Oudem.) de Bary 1874</t>
  </si>
  <si>
    <t>erysiphe polygoni</t>
  </si>
  <si>
    <t>Erysiphe polygoni DC. 1805</t>
  </si>
  <si>
    <t>exserohilum monoceras</t>
  </si>
  <si>
    <t>Exserohilum monoceras (Drechsler) K.J. Leonard &amp; Suggs 1974</t>
  </si>
  <si>
    <t>fibroporia vaillantii</t>
  </si>
  <si>
    <t>Fibroporia vaillantii (DC.) Parmasto 1968</t>
  </si>
  <si>
    <t>fomes fomentarius</t>
  </si>
  <si>
    <t>fomitiporia robusta</t>
  </si>
  <si>
    <t>Fomitiporia robusta (P. Karst.) Fiasson &amp; Niemelä 1984</t>
  </si>
  <si>
    <t>fulvia fulva</t>
  </si>
  <si>
    <t>fusarium alluviale</t>
  </si>
  <si>
    <t>fusarium annuum</t>
  </si>
  <si>
    <t>fusarium arthrosporioides</t>
  </si>
  <si>
    <t>Fusarium arthrosporioides Sherb. 1915</t>
  </si>
  <si>
    <t>fusarium caeruleum</t>
  </si>
  <si>
    <t>Fusarium caeruleum Lib. ex Sacc. 1886</t>
  </si>
  <si>
    <t>fusarium callistephi</t>
  </si>
  <si>
    <t>Fusarium callistephi L. Lombard &amp; Crous 2018</t>
  </si>
  <si>
    <t>fusarium commutatum</t>
  </si>
  <si>
    <t>fusarium diversisporum</t>
  </si>
  <si>
    <t>Fusarium diversisporum Sherb. 1915</t>
  </si>
  <si>
    <t>fusarium ensiforme</t>
  </si>
  <si>
    <t>fusarium equiseti</t>
  </si>
  <si>
    <t>fusarium filiferum</t>
  </si>
  <si>
    <t>Fusarium filiferum (Preuss) Wollenw. 1916</t>
  </si>
  <si>
    <t>fusarium fujikuroi</t>
  </si>
  <si>
    <t>fusarium gemmiperda</t>
  </si>
  <si>
    <t>fusarium gibbosum</t>
  </si>
  <si>
    <t>Fusarium gibbosum Appel &amp; Wollenw. 1910</t>
  </si>
  <si>
    <t>fusarium graminearum</t>
  </si>
  <si>
    <t>fusarium hyperoxysporum</t>
  </si>
  <si>
    <t>fusarium incarnatum</t>
  </si>
  <si>
    <t>fusarium lolii</t>
  </si>
  <si>
    <t>fusarium luteum</t>
  </si>
  <si>
    <t>fusarium macroceras</t>
  </si>
  <si>
    <t>Fusarium macroceras Wollenw. &amp; Reinking 1925</t>
  </si>
  <si>
    <t>fusarium neoceras</t>
  </si>
  <si>
    <t>Fusarium neoceras Wollenw. &amp; Reinking 1925</t>
  </si>
  <si>
    <t>fusarium oxysporum</t>
  </si>
  <si>
    <t>fusarium pallidoroseum</t>
  </si>
  <si>
    <t>Fusarium pallidoroseum (Cooke) Sacc. 1886</t>
  </si>
  <si>
    <t>fusarium poae</t>
  </si>
  <si>
    <t>fusarium polymorphum</t>
  </si>
  <si>
    <t>fusarium redolens</t>
  </si>
  <si>
    <t>fusarium rubrum</t>
  </si>
  <si>
    <t>fusarium sporotrichioides</t>
  </si>
  <si>
    <t>fusarium sulphureum</t>
  </si>
  <si>
    <t>fusarium trichothecioides</t>
  </si>
  <si>
    <t>Fusarium trichothecioides Wollenw. 1912</t>
  </si>
  <si>
    <t>fusarium tricinctum</t>
  </si>
  <si>
    <t>fusicolla aquaeductuum</t>
  </si>
  <si>
    <t>Fusicolla aquaeductuum (Radlk. &amp; Rabenh.) Gräfenhan, Seifert &amp; Schroers 2011</t>
  </si>
  <si>
    <t>ganoderma applanatum</t>
  </si>
  <si>
    <t>Ganoderma applanatum (Pers.) Pat. 1887</t>
  </si>
  <si>
    <t>ganoderma lucidum</t>
  </si>
  <si>
    <t>gloeodes pomigena</t>
  </si>
  <si>
    <t>Gloeodes pomigena (Schwein.) Colby 1920</t>
  </si>
  <si>
    <t>gloeophyllum abietinum</t>
  </si>
  <si>
    <t>Gloeophyllum abietinum (Bull.) P. Karst. 1882</t>
  </si>
  <si>
    <t>gloeophyllum protractum</t>
  </si>
  <si>
    <t>Gloeophyllum protractum (Fr.) Imazeki 1943</t>
  </si>
  <si>
    <t>gloeophyllum sepiarium</t>
  </si>
  <si>
    <t>Gloeophyllum sepiarium (Wulfen) P. Karst. 1882</t>
  </si>
  <si>
    <t>gloeophyllum subferrugineum</t>
  </si>
  <si>
    <t>Gloeophyllum subferrugineum (Berk.) Bondartsev &amp; Singer 1941</t>
  </si>
  <si>
    <t>gloeophyllum trabeum</t>
  </si>
  <si>
    <t>gloeosporium aracearum</t>
  </si>
  <si>
    <t>Gloeosporium aracearum Henn. 1902</t>
  </si>
  <si>
    <t>gloeosporium euonymicola</t>
  </si>
  <si>
    <t>Gloeosporium euonymicola Hemmi 1918</t>
  </si>
  <si>
    <t>gloeosporium foliicolum</t>
  </si>
  <si>
    <t>Gloeosporium foliicola Nishida 1924</t>
  </si>
  <si>
    <t>gloeosporium kawakamii</t>
  </si>
  <si>
    <t>Gloeosporium kawakamii Miyabe 1905</t>
  </si>
  <si>
    <t>gloeosporium laeticolor</t>
  </si>
  <si>
    <t>gloeosporium venetum</t>
  </si>
  <si>
    <t>Gloeosporium venetum Speg. 1879</t>
  </si>
  <si>
    <t>glomerella cinnamomi</t>
  </si>
  <si>
    <t>glomerella mume</t>
  </si>
  <si>
    <t>granulodiplodia megalospora</t>
  </si>
  <si>
    <t>Granulodiplodia megalospora (Berk. &amp; M.A. Curtis) Zambett. 1955</t>
  </si>
  <si>
    <t>gymnosporangium clavipes</t>
  </si>
  <si>
    <t>Gymnosporangium clavipes Cooke &amp; Peck 1873</t>
  </si>
  <si>
    <t>gymnosporangium globosum</t>
  </si>
  <si>
    <t>Gymnosporangium globosum (Farl.) Farl. 1886</t>
  </si>
  <si>
    <t>gymnosporangium juniperi-virginianae</t>
  </si>
  <si>
    <t>Gymnosporangium juniperi-virginianae Schwein. 1822</t>
  </si>
  <si>
    <t>gymnosporangium yamadae</t>
  </si>
  <si>
    <t>Gymnosporangium yamadae Miyabe ex G. Yamada 1904</t>
  </si>
  <si>
    <t>helminthosporium gibberosporum</t>
  </si>
  <si>
    <t>Helminthosporium gibberosporum Curzi 1931</t>
  </si>
  <si>
    <t>hendersonia herpotricha</t>
  </si>
  <si>
    <t>Hendersonia herpotricha Sacc. 1883</t>
  </si>
  <si>
    <t>herpotrichia nigra</t>
  </si>
  <si>
    <t>Herpotrichia nigra R. Hartig 1888</t>
  </si>
  <si>
    <t>heterobasidion annosum</t>
  </si>
  <si>
    <t>heterophoma poolensis</t>
  </si>
  <si>
    <t>Heterophoma poolensis (Taubenh.) Qian Chen &amp; L. Cai 2015</t>
  </si>
  <si>
    <t>hydropisphaera arenula</t>
  </si>
  <si>
    <t>Hydropisphaera arenula (Berk. &amp; Broome) Rossman &amp; Samuels 1999</t>
  </si>
  <si>
    <t>hymenula cerealis</t>
  </si>
  <si>
    <t>Hymenula cerealis Ellis &amp; Everh. 1894</t>
  </si>
  <si>
    <t>inonotus mikadoi</t>
  </si>
  <si>
    <t>Inocutis mikadoi (Lloyd) Y.C. Dai &amp; F. Wu 2022</t>
  </si>
  <si>
    <t>inonotus patouillardii</t>
  </si>
  <si>
    <t>Inonotus patouillardii (Rick) Imazeki 1943</t>
  </si>
  <si>
    <t>inonotus tabacinus</t>
  </si>
  <si>
    <t>Hymenochaete microcycla (Zipp. ex Lév.) Spirin &amp; Miettinen 2019</t>
  </si>
  <si>
    <t>irpex consors</t>
  </si>
  <si>
    <t>Irpex consors Berk. 1878</t>
  </si>
  <si>
    <t>isaria clonostachoides</t>
  </si>
  <si>
    <t>Isaria clonostachoides F.J. Pritch. &amp; Porte 1922</t>
  </si>
  <si>
    <t>kabatiella caulivora</t>
  </si>
  <si>
    <t>Kabatiella caulivora (Kirchn.) Karak. 1923</t>
  </si>
  <si>
    <t>laetiporus sulphureus</t>
  </si>
  <si>
    <t>lasiodiplodia theobromae</t>
  </si>
  <si>
    <t>leiotrametes menziesii</t>
  </si>
  <si>
    <t>Cubamyces menziesii (Berk.) Lücking 2020</t>
  </si>
  <si>
    <t>lentinus tigrinus</t>
  </si>
  <si>
    <t>lenzites tigrinus</t>
  </si>
  <si>
    <t>lenzites yoshinagae</t>
  </si>
  <si>
    <t>Lenzites yoshinagae Lloyd 1922</t>
  </si>
  <si>
    <t>leptotrochila medicaginis</t>
  </si>
  <si>
    <t>Leptotrochila medicaginis (Fuckel) Schüepp 1959</t>
  </si>
  <si>
    <t>macrophomina phaseolina</t>
  </si>
  <si>
    <t>marssonina graminicola</t>
  </si>
  <si>
    <t>Marssonina graminicola (Ellis &amp; Everh.) Magnus 1906</t>
  </si>
  <si>
    <t>melogramma gyrosum</t>
  </si>
  <si>
    <t>Melogramma gyrosum (Schwein.) Tul. &amp; C. Tul. 1863</t>
  </si>
  <si>
    <t>microdochium nivale</t>
  </si>
  <si>
    <t>microdochium panattonianum</t>
  </si>
  <si>
    <t>Microdochium panattonianum (Berl.) B. Sutton, Galea &amp; T.V. Price 1986</t>
  </si>
  <si>
    <t>monilinia fructicola</t>
  </si>
  <si>
    <t>monilinia laxa</t>
  </si>
  <si>
    <t>monilochaetes infuscans</t>
  </si>
  <si>
    <t>Monilochaetes infuscans Harter 1916</t>
  </si>
  <si>
    <t>mycosphaerella brassicicola</t>
  </si>
  <si>
    <t>Mycosphaerella brassicicola (Duby) Lindau 1897</t>
  </si>
  <si>
    <t>mycosphaerella iridis</t>
  </si>
  <si>
    <t>Rachicladosporium iridis (Auersw.) Crous 2020</t>
  </si>
  <si>
    <t>mycosphaerella rabiei</t>
  </si>
  <si>
    <t>Mycosphaerella rabiei Kovatsch. ex Gruyter 2002</t>
  </si>
  <si>
    <t>mycosphaerella rubi</t>
  </si>
  <si>
    <t>Mycosphaerella rubi Roark 1921</t>
  </si>
  <si>
    <t>nectria cinnabarina</t>
  </si>
  <si>
    <t>Nectria cinnabarina (Tode) Fr. 1849</t>
  </si>
  <si>
    <t>nectria pseudotrichia</t>
  </si>
  <si>
    <t>Nectria pseudotrichia Berk. &amp; M.A. Curtis 1854</t>
  </si>
  <si>
    <t>nematogonum ferrugineum</t>
  </si>
  <si>
    <t>Nematogonum ferrugineum (Pers.) S. Hughes 1958</t>
  </si>
  <si>
    <t>neocosmospora solani</t>
  </si>
  <si>
    <t>neocosmospora theobromae</t>
  </si>
  <si>
    <t>Fusarium theobromae Appel &amp; Strunk 1904</t>
  </si>
  <si>
    <t>neofabraea malicorticis</t>
  </si>
  <si>
    <t>Neofabraea malicorticis (Cordley) H.S. Jacks. 1913</t>
  </si>
  <si>
    <t>neolentinus lepideus</t>
  </si>
  <si>
    <t>neonectria ditissima</t>
  </si>
  <si>
    <t>neurospora sitophila</t>
  </si>
  <si>
    <t>Neurospora sitophila Shear &amp; B.O. Dodge 1927</t>
  </si>
  <si>
    <t>nigrospora canescens</t>
  </si>
  <si>
    <t>Nigrospora canescens McLennan &amp; Hoëtte 1933</t>
  </si>
  <si>
    <t>nigrospora musae</t>
  </si>
  <si>
    <t>Nigrospora musae McLennan &amp; Hoëtte 1933</t>
  </si>
  <si>
    <t>oculimacula yallundae</t>
  </si>
  <si>
    <t>olpidiaster brassicae</t>
  </si>
  <si>
    <t>Olpidiaster brassicae (Woronin) Doweld 2014</t>
  </si>
  <si>
    <t>onnia orientalis</t>
  </si>
  <si>
    <t>Onnia orientalis (Lloyd) Imazeki 1943</t>
  </si>
  <si>
    <t>ophiostoma ulmi</t>
  </si>
  <si>
    <t>parastagonospora nodorum</t>
  </si>
  <si>
    <t>passalora cajani</t>
  </si>
  <si>
    <t>Passalora cajani (Henn.) U. Braun &amp; Crous 2003</t>
  </si>
  <si>
    <t>passalora koepkei</t>
  </si>
  <si>
    <t>Passalora koepkei (W. Krüger) U. Braun &amp; Crous 2003</t>
  </si>
  <si>
    <t>penicillium chrysogenum</t>
  </si>
  <si>
    <t>penicillium commune</t>
  </si>
  <si>
    <t>penicillium digitatum</t>
  </si>
  <si>
    <t>penicillium expansum</t>
  </si>
  <si>
    <t>penicillium fructigenum</t>
  </si>
  <si>
    <t>Penicillium fructigenum Takeuchi 1929</t>
  </si>
  <si>
    <t>penicillium gladioli</t>
  </si>
  <si>
    <t>Penicillium gladioli Machacek 1927</t>
  </si>
  <si>
    <t>penicillium italicum</t>
  </si>
  <si>
    <t>peronosclerospora philippinensis</t>
  </si>
  <si>
    <t>Peronosclerospora philippinensis (W. Weston) C.G. Shaw 1978</t>
  </si>
  <si>
    <t>peronospora arborescens</t>
  </si>
  <si>
    <t>Peronospora arborescens (Berk.) de Bary 1855</t>
  </si>
  <si>
    <t>peronospora hyoscyami</t>
  </si>
  <si>
    <t>peronospora trifoliorum</t>
  </si>
  <si>
    <t>Peronospora trifoliorum de Bary 1863</t>
  </si>
  <si>
    <t>pesotum piceae</t>
  </si>
  <si>
    <t>pestalotia diospyri</t>
  </si>
  <si>
    <t>Pestalotia diospyri Syd. &amp; P. Syd. 1913</t>
  </si>
  <si>
    <t>phaeolus schweinitzii</t>
  </si>
  <si>
    <t>Phaeolus schweinitzii (Fr.) Pat. 1900</t>
  </si>
  <si>
    <t>phaeosphaeria herpotrichoides</t>
  </si>
  <si>
    <t>Phaeosphaeria herpotrichoides (De Not.) L. Holm 1957</t>
  </si>
  <si>
    <t>phellinus gilvus</t>
  </si>
  <si>
    <t>Fuscoporia gilva (Schwein.) T. Wagner &amp; M. Fisch. 2002</t>
  </si>
  <si>
    <t>phialophora cinerescens</t>
  </si>
  <si>
    <t>Phialophora cinerescens (Wollenw.) J.F.H. Beyma 1940</t>
  </si>
  <si>
    <t>phoma panacicola</t>
  </si>
  <si>
    <t>Phoma panacicola Nakata &amp; S. Takim. 1922</t>
  </si>
  <si>
    <t>phomopsis kalmiae</t>
  </si>
  <si>
    <t>Diaporthe kalmiae F.A. Wolf &amp; A.R. Caval. 1965</t>
  </si>
  <si>
    <t>phyllactinia guttata</t>
  </si>
  <si>
    <t>Phyllactinia guttata (Wallr.) Lév. 1851</t>
  </si>
  <si>
    <t>phyllosticta nicotianae</t>
  </si>
  <si>
    <t>Phyllosticta nicotianae Ellis &amp; Everh. 1893</t>
  </si>
  <si>
    <t>phyllosticta solitaria</t>
  </si>
  <si>
    <t>Phyllosticta solitaria Ellis &amp; Everh. 1895</t>
  </si>
  <si>
    <t>phyllostictina vaccinii</t>
  </si>
  <si>
    <t>Phyllostictina vaccinii (Shear) Shear 1923</t>
  </si>
  <si>
    <t>physoderma maydis</t>
  </si>
  <si>
    <t>Physoderma maydis (Miyabe) Miyabe 1909</t>
  </si>
  <si>
    <t>phytophthora drechsleri</t>
  </si>
  <si>
    <t>Phytophthora drechsleri Tucker 1931</t>
  </si>
  <si>
    <t>phytophthora erythroseptica</t>
  </si>
  <si>
    <t>Phytophthora erythroseptica Pethybr. 1913</t>
  </si>
  <si>
    <t>phytophthora fagopyri</t>
  </si>
  <si>
    <t>Phytophthora fagopyri S. Takim. ex S. Ito &amp; Tokun. 1935</t>
  </si>
  <si>
    <t>phytophthora infestans</t>
  </si>
  <si>
    <t>phytophthora japonica</t>
  </si>
  <si>
    <t>Phytophthora japonica G.M. Waterh. 1974</t>
  </si>
  <si>
    <t>phytophthora megasperma</t>
  </si>
  <si>
    <t>Phytophthora megasperma Drechsler 1931</t>
  </si>
  <si>
    <t>phytophthora mexicana</t>
  </si>
  <si>
    <t>Phytophthora mexicana Hotson &amp; Hartge 1923</t>
  </si>
  <si>
    <t>phytophthora palmivora</t>
  </si>
  <si>
    <t>Peronophythora palmivora (E.J. Butler) Thines 2023</t>
  </si>
  <si>
    <t>phytophthora porri</t>
  </si>
  <si>
    <t>Phytophthora porri Foister 1931</t>
  </si>
  <si>
    <t>phytophthora richardiae</t>
  </si>
  <si>
    <t>Phytophthora richardiae Buisman 1927</t>
  </si>
  <si>
    <t>plenodomus fuscomaculans</t>
  </si>
  <si>
    <t>Paraconiothyrium fuscomaculans (Sacc.) Verkley &amp; Gruyter 2012</t>
  </si>
  <si>
    <t>plenodomus meliloti</t>
  </si>
  <si>
    <t>proxipyricularia zingiberis</t>
  </si>
  <si>
    <t>Proxipyricularia zingiberis (Y. Nisik.) Klaubauf, M.-H. Lebrun &amp; Crous 2014</t>
  </si>
  <si>
    <t>puccinia antirrhini</t>
  </si>
  <si>
    <t>Puccinia antirrhini Dietel &amp; Holw. 1897</t>
  </si>
  <si>
    <t>puccinia chrysanthemi</t>
  </si>
  <si>
    <t>Puccinia chrysanthemi Roze 1900</t>
  </si>
  <si>
    <t>puccinia coronata</t>
  </si>
  <si>
    <t>puccinia coronifera</t>
  </si>
  <si>
    <t>puccinia graminis</t>
  </si>
  <si>
    <t>puccinia helianthi</t>
  </si>
  <si>
    <t>Puccinia helianthi-mollis (Schwein.) H.S. Jacks. 1918</t>
  </si>
  <si>
    <t>puccinia hordei</t>
  </si>
  <si>
    <t>puccinia malvacearum</t>
  </si>
  <si>
    <t>Puccinia malvacearum Bertero ex Mont. 1852</t>
  </si>
  <si>
    <t>puccinia recondita</t>
  </si>
  <si>
    <t>puccinia sorghi</t>
  </si>
  <si>
    <t>puccinia striiformis</t>
  </si>
  <si>
    <t>pyrenophora catenaria</t>
  </si>
  <si>
    <t>Pyrenophora catenaria (Drechsler) Rossman &amp; K.D. Hyde 2015</t>
  </si>
  <si>
    <t>pyrenophora chaetomioides</t>
  </si>
  <si>
    <t>Pyrenophora chaetomioides Speg. 1898</t>
  </si>
  <si>
    <t>pyrenophora nisikadoi</t>
  </si>
  <si>
    <t>Pyrenophora nisikadoi Y. Marín &amp; Crous 2019</t>
  </si>
  <si>
    <t>pyrenophora tritici-repentis</t>
  </si>
  <si>
    <t>pyricularia grisea</t>
  </si>
  <si>
    <t>pyricularia oryzae</t>
  </si>
  <si>
    <t>pyricularia setariae</t>
  </si>
  <si>
    <t>Pyricularia setariae Y. Nisik. 1917</t>
  </si>
  <si>
    <t>pythium butleri</t>
  </si>
  <si>
    <t>Pythium butleri Subraman. 1919</t>
  </si>
  <si>
    <t>pythium epigynum</t>
  </si>
  <si>
    <t>Pythium epigynum Höhnk 1932</t>
  </si>
  <si>
    <t>ramularia grevilleana</t>
  </si>
  <si>
    <t>Ramularia grevilleana (Tul. &amp; C. Tul. ex Oudem.) Jørst. 1945</t>
  </si>
  <si>
    <t>ramularia panacicola</t>
  </si>
  <si>
    <t>remotididymella destructiva</t>
  </si>
  <si>
    <t>Remotididymella destructiva (Plowr.) Valenz.-Lopez, Cano, Crous, Guarro &amp; Stchigel 2017</t>
  </si>
  <si>
    <t>rhabdocline laricis</t>
  </si>
  <si>
    <t>Rhabdocline laricis (Vuill.) J.K. Stone 2014</t>
  </si>
  <si>
    <t>rhipidium interruptum</t>
  </si>
  <si>
    <t>Rhipidium interruptum Cornu 1872</t>
  </si>
  <si>
    <t>rhizoctonia solani</t>
  </si>
  <si>
    <t>rhizomucor pusillus</t>
  </si>
  <si>
    <t>rhizopus acidus</t>
  </si>
  <si>
    <t>rhizopus arrhizus</t>
  </si>
  <si>
    <t>rhizopus lyococcus</t>
  </si>
  <si>
    <t>Rhizopus lyococcus (Ehrenb.) G.Y. Liou, F.L. Lee, G.F. Yuan &amp; Stalpers 2007</t>
  </si>
  <si>
    <t>rhizopus microsporus</t>
  </si>
  <si>
    <t>rhizopus niveus</t>
  </si>
  <si>
    <t>Rhizopus niveus M. Yamaz. 1919</t>
  </si>
  <si>
    <t>rhizopus stolonifer</t>
  </si>
  <si>
    <t>rhodofomitopsis feei</t>
  </si>
  <si>
    <t>Rhodofomitopsis feei (Fr.) B.K. Cui, M.L. Han &amp; Y.C. Dai 2016</t>
  </si>
  <si>
    <t>rigidoporus ulmarius</t>
  </si>
  <si>
    <t>Rigidoporus ulmarius (Sowerby) Imazeki 1952</t>
  </si>
  <si>
    <t>saccharicola taiwanensis</t>
  </si>
  <si>
    <t>Saccharicola taiwanensis (W.Y. Yen &amp; C.C. Chi) O.E. Erikss. &amp; D. Hawksw. 2003</t>
  </si>
  <si>
    <t>saprolegnia glomerata</t>
  </si>
  <si>
    <t>saprolegnia mixta</t>
  </si>
  <si>
    <t>Saprolegnia mixta de Bary 1883</t>
  </si>
  <si>
    <t>schizophyllum commune</t>
  </si>
  <si>
    <t>sclerotinia miyabeana</t>
  </si>
  <si>
    <t>Sclerotinia miyabeana Hanzawa 1911</t>
  </si>
  <si>
    <t>sclerotinia ricini</t>
  </si>
  <si>
    <t>Sclerotinia ricini G.H. Godfrey 1919</t>
  </si>
  <si>
    <t>sclerotinia sclerotiorum</t>
  </si>
  <si>
    <t>sclerotium perniciosum</t>
  </si>
  <si>
    <t>septoria apiicola</t>
  </si>
  <si>
    <t>Septoria apiicola Speg. 1887</t>
  </si>
  <si>
    <t>septoria callistephi</t>
  </si>
  <si>
    <t>septoria cannabis</t>
  </si>
  <si>
    <t>Septoria cannabis (Lasch) Sacc. 1884</t>
  </si>
  <si>
    <t>septoria chrysanthemella</t>
  </si>
  <si>
    <t>Septoria chrysanthemella Sacc. 1895</t>
  </si>
  <si>
    <t>septoria lilii</t>
  </si>
  <si>
    <t>septoria lycopersici</t>
  </si>
  <si>
    <t>Septoria lycopersici Speg. 1882</t>
  </si>
  <si>
    <t>septoria menthae</t>
  </si>
  <si>
    <t>Septoria menthae (Thüm.) Oudem. 1875</t>
  </si>
  <si>
    <t>septoria obesa</t>
  </si>
  <si>
    <t>Septoria obesa Syd. &amp; P. Syd. 1914</t>
  </si>
  <si>
    <t>serpula lacrymans</t>
  </si>
  <si>
    <t>sorosporium paspali</t>
  </si>
  <si>
    <t>Sorosporium paspali McAlpine 1910</t>
  </si>
  <si>
    <t>sphaeropsis tumefaciens</t>
  </si>
  <si>
    <t>Cophinforma tumefaciens (Hedges) F. Liu, Crous &amp; L. Cai 2021</t>
  </si>
  <si>
    <t>sphaerulina azaleae</t>
  </si>
  <si>
    <t>Sphaerulina azaleae (Voglino) Quaedvl., Verkley &amp; Crous 2013</t>
  </si>
  <si>
    <t>sphaerulina myriadea</t>
  </si>
  <si>
    <t>Sphaerulina myriadea (DC.) Sacc. 1878</t>
  </si>
  <si>
    <t>sphaerulina oryzina</t>
  </si>
  <si>
    <t>Sphaerulina oryzina Hara 1918</t>
  </si>
  <si>
    <t>sporisorium cruentum</t>
  </si>
  <si>
    <t>Sporisorium cruentum (J.G. Kühn) Vánky 1985</t>
  </si>
  <si>
    <t>sporisorium destruens</t>
  </si>
  <si>
    <t>Sporisorium destruens (Schltdl.) Vánky 1985</t>
  </si>
  <si>
    <t>stemphylium cucurbitacearum</t>
  </si>
  <si>
    <t>Stemphylium cucurbitacearum Osner 1918</t>
  </si>
  <si>
    <t>stemphylium solani</t>
  </si>
  <si>
    <t>Stemphylium solani G.F. Weber 1930</t>
  </si>
  <si>
    <t>stenocarpella macrospora</t>
  </si>
  <si>
    <t>Stenocarpella macrospora (Earle) B. Sutton 1977</t>
  </si>
  <si>
    <t>stereum hirsutum</t>
  </si>
  <si>
    <t>sterigmatocystis basidiosepta</t>
  </si>
  <si>
    <t>strionemadiplodia frumenti</t>
  </si>
  <si>
    <t>Strionemadiplodia frumenti (Ellis &amp; Everh.) Zambett. 1955</t>
  </si>
  <si>
    <t>stromatinia gladioli</t>
  </si>
  <si>
    <t>Stromatinia gladioli (Drayton) Whetzel 1945</t>
  </si>
  <si>
    <t>subplenodomus apiicola</t>
  </si>
  <si>
    <t>Subplenodomus apiicola (Kleb.) Gruyter, Aveskamp &amp; Verkley 2012</t>
  </si>
  <si>
    <t>synchytrium fulgens</t>
  </si>
  <si>
    <t>Synchytrium fulgens J. Schröt. 1873</t>
  </si>
  <si>
    <t>taphridium umbelliferarum</t>
  </si>
  <si>
    <t>Taphridium umbelliferarum (Rostr.) Lagerh. &amp; Juel 1902</t>
  </si>
  <si>
    <t>taphrina mirabilis</t>
  </si>
  <si>
    <t>Taphrina mirabilis (G.F. Atk.) Giesenh. 1895</t>
  </si>
  <si>
    <t>tapinella panuoides</t>
  </si>
  <si>
    <t>Tapinella panuoides (Fr.) E.-J. Gilbert 1931</t>
  </si>
  <si>
    <t>tilletia barclayana</t>
  </si>
  <si>
    <t>Tilletia barclayana (Bref.) Sacc. &amp; P. Syd. 1899</t>
  </si>
  <si>
    <t>trametes hirsuta</t>
  </si>
  <si>
    <t>trametes versicolor</t>
  </si>
  <si>
    <t>tranzschelia pruni-spinosae</t>
  </si>
  <si>
    <t>Tranzschelia pruni-spinosae (Pers.) Dietel 1922</t>
  </si>
  <si>
    <t>trichoderma viride</t>
  </si>
  <si>
    <t>tricholoma matsutake</t>
  </si>
  <si>
    <t>trichothecium plasmoparae</t>
  </si>
  <si>
    <t>Trichothecium plasmoparae Viala 1932</t>
  </si>
  <si>
    <t>trichothecium roseum</t>
  </si>
  <si>
    <t>urocystis cepulae</t>
  </si>
  <si>
    <t>Urocystis magica Pass. 1875</t>
  </si>
  <si>
    <t>urocystis tritici</t>
  </si>
  <si>
    <t>Urocystis tritici Körn. 1877</t>
  </si>
  <si>
    <t>uromyces dianthi</t>
  </si>
  <si>
    <t>Uromyces dianthi (Pers.) Niessl 1872</t>
  </si>
  <si>
    <t>uromyces fallens</t>
  </si>
  <si>
    <t>Uromyces fallens (Desm.) Barthol. 1928</t>
  </si>
  <si>
    <t>uromyces hybridi</t>
  </si>
  <si>
    <t>Uromyces hybridi W.H. Davis 1924</t>
  </si>
  <si>
    <t>uromyces phaseoli</t>
  </si>
  <si>
    <t>Uromyces appendiculatus (Pers.) Link 1824</t>
  </si>
  <si>
    <t>uromyces trifolii-repentis</t>
  </si>
  <si>
    <t>Uromyces trifolii-repentis Liro 1906</t>
  </si>
  <si>
    <t>uromyces viciae-fabae</t>
  </si>
  <si>
    <t>ustilago avenae</t>
  </si>
  <si>
    <t>Ustilago avenae (Pers.) Rostr. 1890</t>
  </si>
  <si>
    <t>ustilago bullata</t>
  </si>
  <si>
    <t>Microbotryum bistortarum (DC.) Vánky 1998</t>
  </si>
  <si>
    <t>ustilago striaeformis</t>
  </si>
  <si>
    <t>Ustilago striiformis (Westend.) Niessl 1876</t>
  </si>
  <si>
    <t>ustilago tritici</t>
  </si>
  <si>
    <t>valsa paulowniae</t>
  </si>
  <si>
    <t>Valsa paulowniae Miyabe &amp; Hemmi 1916</t>
  </si>
  <si>
    <t>venturia cerasi</t>
  </si>
  <si>
    <t>Venturia cerasi Aderh. 1900</t>
  </si>
  <si>
    <t>venturia inaequalis</t>
  </si>
  <si>
    <t>venturia saliciperda</t>
  </si>
  <si>
    <t>Venturia saliciperda Nüesch 1960</t>
  </si>
  <si>
    <t>verticillium albo-atrum</t>
  </si>
  <si>
    <t>verticillium dahliae</t>
  </si>
  <si>
    <t>waitea circinata</t>
  </si>
  <si>
    <t>Waitea circinata Warcup &amp; P.H.B. Talbot 1962</t>
  </si>
  <si>
    <t>xylobolus frustulatus</t>
  </si>
  <si>
    <t>Xylobolus frustulatus (Pers.) P. Karst. 1881</t>
  </si>
  <si>
    <t>Included in Main database</t>
  </si>
  <si>
    <t>No</t>
  </si>
  <si>
    <t>Yes</t>
  </si>
  <si>
    <t>(c) William Bains 2025. All rights reserved.</t>
  </si>
  <si>
    <t>Dataset made available for non-commercial use under Creative Commons Licence CC-BY-NC-SA</t>
  </si>
  <si>
    <t>If you use this dataset, please cite  it as follows:</t>
  </si>
  <si>
    <t>William Bains (2025) "A dataset of genomic and growth temperature data for fungi" . Data: X (X): XX-XX</t>
  </si>
  <si>
    <t>Fungal growth temperature limits dataset</t>
  </si>
  <si>
    <t>Contents:</t>
  </si>
  <si>
    <t>Read Me</t>
  </si>
  <si>
    <t>This screen</t>
  </si>
  <si>
    <t>Genomes and temp DB</t>
  </si>
  <si>
    <t xml:space="preserve">Dataset of fungal species for which the maximum AND minimum growth temperatures are known, and for which a complete genome sequence has been published. </t>
  </si>
  <si>
    <t>The columns are as follows</t>
  </si>
  <si>
    <t>Group</t>
  </si>
  <si>
    <t>Column</t>
  </si>
  <si>
    <t>Description</t>
  </si>
  <si>
    <t>Uniform name from www.fungalnames.com</t>
  </si>
  <si>
    <t>Text</t>
  </si>
  <si>
    <t>Name of species as described in the source material</t>
  </si>
  <si>
    <t>Other names by which this species is referred to in relevant literature, if any</t>
  </si>
  <si>
    <t>Reported length of the genome, in megabases</t>
  </si>
  <si>
    <t>Real number</t>
  </si>
  <si>
    <t>Reported number of proteins in the geome annotation</t>
  </si>
  <si>
    <t>Integer</t>
  </si>
  <si>
    <t>G+C percentage of the genome</t>
  </si>
  <si>
    <t>Percentage number</t>
  </si>
  <si>
    <t>Literature reference for additional genome data, if not included in NCBI or Mycocosm databases</t>
  </si>
  <si>
    <t>Source of the full proteome file, if one is available</t>
  </si>
  <si>
    <t>Number of proteins in the proteome file</t>
  </si>
  <si>
    <t>Total number of amino acids in the proteins in the proteome file</t>
  </si>
  <si>
    <t>Minimum growth temperature as reported in the literature</t>
  </si>
  <si>
    <t>Maximum growth temperature as reported in the literature</t>
  </si>
  <si>
    <t>Basis for estimating minimum and maximum temperature (see section XX)</t>
  </si>
  <si>
    <t>Reference for source of minimum and maximum growth temperature</t>
  </si>
  <si>
    <t>Minimum growth temperature as reported in the Togashi database</t>
  </si>
  <si>
    <t>Maximum growth temperature as reported in the Togashi database</t>
  </si>
  <si>
    <t>Number of entries in the Togashi database from which minimum and maximum growth temperatures were educed</t>
  </si>
  <si>
    <t>Combined minimum growth temperature estimate</t>
  </si>
  <si>
    <t>Combined maximum growth temperature estimate</t>
  </si>
  <si>
    <t>Complete taxonomic description as listed in NBCI Taxonomy database</t>
  </si>
  <si>
    <t>Top level clade</t>
  </si>
  <si>
    <t>Subkingdom (for fungi)</t>
  </si>
  <si>
    <t>Division (for fungi)</t>
  </si>
  <si>
    <t>Order where specified (for fungi)</t>
  </si>
  <si>
    <t>See the paper in Data for more on how the various datasets were generated</t>
  </si>
  <si>
    <t>Temperature Growth Model</t>
  </si>
  <si>
    <t>This is the model as described in section 3.4 of the paper. The algorithm matches a set of measrured growth rates to a biphasic growth_vs_temperature curve</t>
  </si>
  <si>
    <t>To use:</t>
  </si>
  <si>
    <r>
      <t xml:space="preserve">cells you are not using are empty. Temperatures must be </t>
    </r>
    <r>
      <rPr>
        <b/>
        <sz val="11"/>
        <color theme="1"/>
        <rFont val="Calibri"/>
        <family val="2"/>
        <scheme val="minor"/>
      </rPr>
      <t>integral</t>
    </r>
    <r>
      <rPr>
        <sz val="11"/>
        <color theme="1"/>
        <rFont val="Calibri"/>
        <family val="2"/>
        <scheme val="minor"/>
      </rPr>
      <t xml:space="preserve"> - if you have fractional temperatures, rund up or down</t>
    </r>
  </si>
  <si>
    <t>providing the numbers represent a growth rate (i.e. an amount of growth in a standard time) any units will do</t>
  </si>
  <si>
    <t>If the match between the graph and the points is not too bad, the minimum  and maximum temperatures are in cells H25 and I25</t>
  </si>
  <si>
    <t>If the match looks poor, you can</t>
  </si>
  <si>
    <t>Continue searching, by clicking 'continue running'. (If you click 'Run' again you will probably just get the same result</t>
  </si>
  <si>
    <t>OR</t>
  </si>
  <si>
    <t>References</t>
  </si>
  <si>
    <t>This is the reference list for the references in the Genomes and temp DB sheet</t>
  </si>
  <si>
    <t>Togashi complete</t>
  </si>
  <si>
    <t>This is the complete list of species from the Togashi database for which maximum and minimum temperatures are known. Columns are:</t>
  </si>
  <si>
    <t>Name - name from the database</t>
  </si>
  <si>
    <t>Current Name - current name for that species as per fungalnames.com</t>
  </si>
  <si>
    <t>Minimum minimum growth temperatures</t>
  </si>
  <si>
    <t>Maximum - maximum growth temperature</t>
  </si>
  <si>
    <t>Number number of entries in the Togathis database that refer to that species. The minimum is two (one for the minimum and one for the maximum)</t>
  </si>
  <si>
    <t xml:space="preserve">Included in Main database - 'Yes' if this is included in the 'Genomes and temp DB' sheet, 'No' if it is not because I could not find genome data for this species. </t>
  </si>
  <si>
    <t>JGI</t>
  </si>
  <si>
    <r>
      <t xml:space="preserve">enter the temperatures into cells </t>
    </r>
    <r>
      <rPr>
        <sz val="11"/>
        <color rgb="FFFF0000"/>
        <rFont val="Calibri"/>
        <family val="2"/>
        <scheme val="minor"/>
      </rPr>
      <t>H9:H21</t>
    </r>
    <r>
      <rPr>
        <sz val="11"/>
        <color theme="1"/>
        <rFont val="Calibri"/>
        <family val="2"/>
        <scheme val="minor"/>
      </rPr>
      <t xml:space="preserve">. Note that you do not have to fill all the cells, but make sure that </t>
    </r>
  </si>
  <si>
    <r>
      <t>enter the growth rates in cells</t>
    </r>
    <r>
      <rPr>
        <sz val="11"/>
        <color rgb="FFFF0000"/>
        <rFont val="Calibri"/>
        <family val="2"/>
        <scheme val="minor"/>
      </rPr>
      <t xml:space="preserve"> I9:I94</t>
    </r>
    <r>
      <rPr>
        <sz val="11"/>
        <color theme="1"/>
        <rFont val="Calibri"/>
        <family val="2"/>
        <scheme val="minor"/>
      </rPr>
      <t xml:space="preserve">, to correspond to the temperatures. Note that the units </t>
    </r>
    <r>
      <rPr>
        <b/>
        <sz val="11"/>
        <color theme="1"/>
        <rFont val="Calibri"/>
        <family val="2"/>
        <scheme val="minor"/>
      </rPr>
      <t>do not matter:</t>
    </r>
  </si>
  <si>
    <t>the macro can be interrupted by pressing 'esc', usually several times. When the run finished the graph will update</t>
  </si>
  <si>
    <t>Click 'run'. Wait. Excel will probably produce a few error messages, ignore them.  If you think it is all going horrible wrong,</t>
  </si>
  <si>
    <r>
      <t xml:space="preserve">Manually messing with the parameters in cells </t>
    </r>
    <r>
      <rPr>
        <sz val="11"/>
        <color rgb="FFFF0000"/>
        <rFont val="Calibri"/>
        <family val="2"/>
        <scheme val="minor"/>
      </rPr>
      <t>D2:D6</t>
    </r>
    <r>
      <rPr>
        <sz val="11"/>
        <color theme="1"/>
        <rFont val="Calibri"/>
        <family val="2"/>
        <scheme val="minor"/>
      </rPr>
      <t xml:space="preserve"> to get an improved match</t>
    </r>
  </si>
  <si>
    <t>Manually mess with the parameters to get near, then clock 'Continue running' to optimize</t>
  </si>
  <si>
    <t>Agaricus bisporus</t>
  </si>
  <si>
    <t>Athelia rolfsii</t>
  </si>
  <si>
    <t>Albugo candida</t>
  </si>
  <si>
    <t>Alternaria brassicae</t>
  </si>
  <si>
    <t>Alternaria gaisen</t>
  </si>
  <si>
    <t>Alternaria longipes</t>
  </si>
  <si>
    <t>Alternaria porri</t>
  </si>
  <si>
    <t>Alternaria radicina</t>
  </si>
  <si>
    <t>Alternaria tomato</t>
  </si>
  <si>
    <t>Annulohypoxylon annulatum</t>
  </si>
  <si>
    <t>Aphanomyces euteiches</t>
  </si>
  <si>
    <t>Aspergillus alliaceus</t>
  </si>
  <si>
    <t>Aspergillus flavipes</t>
  </si>
  <si>
    <t>Name (as in Dryad database)</t>
  </si>
  <si>
    <t>Aspergillus varians</t>
  </si>
  <si>
    <t>Aspergillus wentii</t>
  </si>
  <si>
    <t>Aureobasidium mangrovei</t>
  </si>
  <si>
    <t>Berkeleyomyces basicola</t>
  </si>
  <si>
    <t>Aspergillus elegans</t>
  </si>
  <si>
    <t>Bipolaris oryzae</t>
  </si>
  <si>
    <t>Bipolaris sorokiniana</t>
  </si>
  <si>
    <t>Biscogniauxia marginata</t>
  </si>
  <si>
    <t>Bisifusarium dimerum</t>
  </si>
  <si>
    <t>Blumeriella jaapii</t>
  </si>
  <si>
    <t>Boeremia exigua</t>
  </si>
  <si>
    <t>Boletus variegatus</t>
  </si>
  <si>
    <t>Cadophora malorum</t>
  </si>
  <si>
    <t>Ceratocystis fimbriata</t>
  </si>
  <si>
    <t>Ceratocystis paradoxa</t>
  </si>
  <si>
    <t>Cercospora apii</t>
  </si>
  <si>
    <t>Cercospora beticola</t>
  </si>
  <si>
    <t>Choanephora cucurbitarum</t>
  </si>
  <si>
    <t>Chondrostereum purpureum</t>
  </si>
  <si>
    <t>Cladosporium cladosporioides</t>
  </si>
  <si>
    <t>Cladosporium cucumerinum</t>
  </si>
  <si>
    <t>Cladosporium phlei</t>
  </si>
  <si>
    <t>Colletotrichum coccodes</t>
  </si>
  <si>
    <t>Colletotrichum dematium</t>
  </si>
  <si>
    <t>Colletotrichum falcatum</t>
  </si>
  <si>
    <t>Colletotrichum horii</t>
  </si>
  <si>
    <t>Colletotrichum lindemuthianum</t>
  </si>
  <si>
    <t>Colletotrichum linicola</t>
  </si>
  <si>
    <t>Colletotrichum musae</t>
  </si>
  <si>
    <t>Colletotrichum trifolii</t>
  </si>
  <si>
    <t>Coniella diplodiella</t>
  </si>
  <si>
    <t>Paraconiothyrium fuckelii</t>
  </si>
  <si>
    <t>Endothia radicalis</t>
  </si>
  <si>
    <t>Curvularia kusanoi</t>
  </si>
  <si>
    <t>Curvularia lunata</t>
  </si>
  <si>
    <t>Curvularia trifolii</t>
  </si>
  <si>
    <t>Cytospora chrysosperma</t>
  </si>
  <si>
    <t>Cytospora leucostoma</t>
  </si>
  <si>
    <t>Diaporthe citri</t>
  </si>
  <si>
    <t>Diaporthe destruens</t>
  </si>
  <si>
    <t>Phomopsis phaseoli</t>
  </si>
  <si>
    <t>Didymella pinodella</t>
  </si>
  <si>
    <t>Didymella pinodes</t>
  </si>
  <si>
    <t>Didymella pisi</t>
  </si>
  <si>
    <t>Dothiorella sarmentorum</t>
  </si>
  <si>
    <t>Earliella scabrosa</t>
  </si>
  <si>
    <t>Elsinoe fawcettii</t>
  </si>
  <si>
    <t>Emergomyces africanus</t>
  </si>
  <si>
    <t>Emergomyces crescens</t>
  </si>
  <si>
    <t>Emergomyces orientalis</t>
  </si>
  <si>
    <t>Emergomyces pasteurianus</t>
  </si>
  <si>
    <t>Epicoccum sorghinum</t>
  </si>
  <si>
    <t>Eremothecium coryli</t>
  </si>
  <si>
    <t>Erysiphe necator</t>
  </si>
  <si>
    <t>Exserohilum turcicum</t>
  </si>
  <si>
    <t>Fomitopsis pinicola</t>
  </si>
  <si>
    <t>Fusarium acuminatum</t>
  </si>
  <si>
    <t>Fusarium anguioides</t>
  </si>
  <si>
    <t>Fusarium anthophilum</t>
  </si>
  <si>
    <t>Fusarium avenaceum</t>
  </si>
  <si>
    <t>Fusarium camptoceras</t>
  </si>
  <si>
    <t>Fusarium culmorum</t>
  </si>
  <si>
    <t>Fusarium flocciferum</t>
  </si>
  <si>
    <t>Fusarium graminum</t>
  </si>
  <si>
    <t>Fusarium lateritium</t>
  </si>
  <si>
    <t>Fusarium longipes</t>
  </si>
  <si>
    <t>Neocosmospora phaseoli</t>
  </si>
  <si>
    <t>Fusarium roseum</t>
  </si>
  <si>
    <t>Neocosmospora pisi</t>
  </si>
  <si>
    <t>Gaeumannomyces graminis</t>
  </si>
  <si>
    <t>Globisporangium debaryanum</t>
  </si>
  <si>
    <t>Globisporangium splendens</t>
  </si>
  <si>
    <t>Globisporangium ultimum</t>
  </si>
  <si>
    <t>Helminthosporium solani</t>
  </si>
  <si>
    <t>Ilyonectria mors-panacis</t>
  </si>
  <si>
    <t>Ilyonectria robusta</t>
  </si>
  <si>
    <t>Aureobasidium zeae</t>
  </si>
  <si>
    <t>Lenzites betulina</t>
  </si>
  <si>
    <t>Leptosphaeria avenaria</t>
  </si>
  <si>
    <t>Melampsora lini</t>
  </si>
  <si>
    <t>Monilinia fructigena</t>
  </si>
  <si>
    <t>Mucor racemosus</t>
  </si>
  <si>
    <t>Hypomyces perniciosus</t>
  </si>
  <si>
    <t>Ustilago maydis</t>
  </si>
  <si>
    <t>Mycosphaerella linicola</t>
  </si>
  <si>
    <t>Nakataea oryzae</t>
  </si>
  <si>
    <t>Neoantrodia serialis</t>
  </si>
  <si>
    <t>Neofusicoccum ribis</t>
  </si>
  <si>
    <t>Nectria ditissima</t>
  </si>
  <si>
    <t>Nigrospora oryzae</t>
  </si>
  <si>
    <t>Poria rivulosa</t>
  </si>
  <si>
    <t>Ophiosphaerella herpotricha</t>
  </si>
  <si>
    <t>Papiliotrema laurentii</t>
  </si>
  <si>
    <t>Peronosclerospora sorghi</t>
  </si>
  <si>
    <t>Peronospora destructor</t>
  </si>
  <si>
    <t>Peronospora farinosa</t>
  </si>
  <si>
    <t>Phycomyces nitens</t>
  </si>
  <si>
    <t>Phyllosticta ampelicida</t>
  </si>
  <si>
    <t>Phyllosticta citricarpa</t>
  </si>
  <si>
    <t>Phytophthora boehmeriae</t>
  </si>
  <si>
    <t>Phytophthora cactorum</t>
  </si>
  <si>
    <t>Phytophthora cambivora</t>
  </si>
  <si>
    <t>Phytophthora capsici</t>
  </si>
  <si>
    <t>Phytophthora cinnamomi</t>
  </si>
  <si>
    <t>Phytophthora citricola</t>
  </si>
  <si>
    <t>Phytophthora citrophthora</t>
  </si>
  <si>
    <t>Phytophthora colocasiae</t>
  </si>
  <si>
    <t>Phytophthora cryptogea</t>
  </si>
  <si>
    <t>Phytophthora hibernalis</t>
  </si>
  <si>
    <t>Phytophthora meadii</t>
  </si>
  <si>
    <t>Phytophthora nicotianae</t>
  </si>
  <si>
    <t>Phytophthora pini</t>
  </si>
  <si>
    <t>Phytopythium vexans</t>
  </si>
  <si>
    <t>Plasmopara viticola</t>
  </si>
  <si>
    <t>Plenodomus tracheiphilus</t>
  </si>
  <si>
    <t>Pleospora lycopersici</t>
  </si>
  <si>
    <t>Podosphaera leucotricha</t>
  </si>
  <si>
    <t>Phellinus pini</t>
  </si>
  <si>
    <t>Porostereum spadiceum</t>
  </si>
  <si>
    <t>Mycosphaerella musicola</t>
  </si>
  <si>
    <t>Pseudoperonospora cubensis</t>
  </si>
  <si>
    <t>Pseudopestalotiopsis theae</t>
  </si>
  <si>
    <t>Pyrenophora graminea</t>
  </si>
  <si>
    <t>Pyrenophora teres</t>
  </si>
  <si>
    <t>Pythium aphanidermatum</t>
  </si>
  <si>
    <t>Pythium arrhenomanes</t>
  </si>
  <si>
    <t>Pythium monospermum</t>
  </si>
  <si>
    <t>Pythium scleroteichum</t>
  </si>
  <si>
    <t>Rectifusarium ventricosum</t>
  </si>
  <si>
    <t>Rhizoctonia oryzae-sativae</t>
  </si>
  <si>
    <t>Sclerospora graminicola</t>
  </si>
  <si>
    <t>Sclerotinia minor</t>
  </si>
  <si>
    <t>Serpula himantioides</t>
  </si>
  <si>
    <t>Sporisorium reilianum</t>
  </si>
  <si>
    <t>Sporisorium sorghi</t>
  </si>
  <si>
    <t>Stemphylium vesicarium</t>
  </si>
  <si>
    <t>Stenocarpella maydis</t>
  </si>
  <si>
    <t>Stigmina carpophila</t>
  </si>
  <si>
    <t>Stromatinia cepivora</t>
  </si>
  <si>
    <t>Synchytrium endobioticum</t>
  </si>
  <si>
    <t>Syzygites megalocarpus</t>
  </si>
  <si>
    <t>Talaromyces purpureogenus</t>
  </si>
  <si>
    <t>Taphrina deformans</t>
  </si>
  <si>
    <t>Tilletia laevis</t>
  </si>
  <si>
    <t>Trametes gibbosa</t>
  </si>
  <si>
    <t>Ustilago hordei</t>
  </si>
  <si>
    <t>Ustilago nuda</t>
  </si>
  <si>
    <t>Tilletia tritici</t>
  </si>
  <si>
    <t>Perenniporia fraxinea</t>
  </si>
  <si>
    <t>Venturia carpophila</t>
  </si>
  <si>
    <t>Venturia effusa</t>
  </si>
  <si>
    <t>Verpa bohemica</t>
  </si>
  <si>
    <t>Xylaria arbuscula</t>
  </si>
  <si>
    <t>Xylaria hypoxylon</t>
  </si>
  <si>
    <t>Xylaria polymorpha</t>
  </si>
  <si>
    <t>Zymoseptoria tritici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</si>
</sst>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2"/>
      <color theme="1"/>
      <name val="Calibri"/>
      <family val="2"/>
      <scheme val="minor"/>
    </font>
    <font>
      <u/>
      <sz val="11"/>
      <color theme="10"/>
      <name val="Calibri"/>
      <family val="2"/>
      <scheme val="minor"/>
    </font>
    <font>
      <sz val="10"/>
      <color rgb="FF222222"/>
      <name val="Arial"/>
      <family val="2"/>
    </font>
    <font>
      <sz val="8"/>
      <color rgb="FF222222"/>
      <name val="Arial"/>
      <family val="2"/>
    </font>
    <font>
      <sz val="10"/>
      <color rgb="FF000000"/>
      <name val="Arial"/>
      <family val="2"/>
    </font>
    <font>
      <sz val="11"/>
      <color rgb="FF000000"/>
      <name val="Calibri"/>
      <family val="2"/>
    </font>
    <font>
      <sz val="12"/>
      <color theme="1"/>
      <name val="Times New Roman"/>
      <family val="1"/>
    </font>
    <font>
      <sz val="10"/>
      <color rgb="FF333333"/>
      <name val="Arial"/>
      <family val="2"/>
    </font>
    <font>
      <sz val="11"/>
      <color theme="1"/>
      <name val="Calibri"/>
      <family val="2"/>
    </font>
    <font>
      <sz val="10"/>
      <color rgb="FF000000"/>
      <name val="Palatino Linotype"/>
      <family val="1"/>
    </font>
    <font>
      <b/>
      <sz val="11"/>
      <color theme="1"/>
      <name val="Calibri"/>
      <family val="2"/>
      <scheme val="minor"/>
    </font>
    <font>
      <sz val="11"/>
      <color theme="1"/>
      <name val="Aptos"/>
      <family val="2"/>
    </font>
    <font>
      <sz val="11"/>
      <color rgb="FF000000"/>
      <name val="Aptos"/>
      <family val="2"/>
    </font>
    <font>
      <sz val="11"/>
      <color theme="1"/>
      <name val="Cambria Math"/>
      <family val="1"/>
    </font>
    <font>
      <sz val="11"/>
      <color theme="1"/>
      <name val="MS Gothic"/>
      <family val="3"/>
    </font>
    <font>
      <sz val="11"/>
      <color theme="1"/>
      <name val="Microsoft JhengHei"/>
      <family val="2"/>
    </font>
    <font>
      <b/>
      <sz val="10"/>
      <color rgb="FF000000"/>
      <name val="Palatino Linotype"/>
      <family val="1"/>
    </font>
    <font>
      <sz val="11"/>
      <color rgb="FFFF0000"/>
      <name val="Calibri"/>
      <family val="2"/>
      <scheme val="minor"/>
    </font>
    <font>
      <sz val="1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s>
  <borders count="4">
    <border>
      <left/>
      <right/>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
    <xf numFmtId="0" fontId="0" fillId="0" borderId="0"/>
    <xf numFmtId="0" fontId="2" fillId="0" borderId="0" applyNumberFormat="0" applyFill="0" applyBorder="0" applyAlignment="0" applyProtection="0"/>
  </cellStyleXfs>
  <cellXfs count="27">
    <xf numFmtId="0" fontId="0" fillId="0" borderId="0" xfId="0"/>
    <xf numFmtId="0" fontId="1" fillId="0" borderId="0" xfId="0" applyFont="1"/>
    <xf numFmtId="11" fontId="0" fillId="0" borderId="0" xfId="0" applyNumberFormat="1"/>
    <xf numFmtId="0" fontId="0" fillId="2" borderId="0" xfId="0" applyFill="1"/>
    <xf numFmtId="0" fontId="0" fillId="3" borderId="0" xfId="0" applyFill="1"/>
    <xf numFmtId="0" fontId="0" fillId="0" borderId="0" xfId="0" applyAlignment="1">
      <alignment wrapText="1"/>
    </xf>
    <xf numFmtId="0" fontId="12" fillId="0" borderId="0" xfId="0" applyFont="1" applyAlignment="1">
      <alignment vertical="center"/>
    </xf>
    <xf numFmtId="0" fontId="9" fillId="0" borderId="0" xfId="0" applyFont="1"/>
    <xf numFmtId="0" fontId="13" fillId="0" borderId="0" xfId="0" applyFont="1" applyAlignment="1">
      <alignment vertical="center"/>
    </xf>
    <xf numFmtId="0" fontId="2" fillId="0" borderId="0" xfId="1" applyFill="1" applyAlignment="1">
      <alignment vertical="center"/>
    </xf>
    <xf numFmtId="0" fontId="7" fillId="0" borderId="0" xfId="0" applyFont="1" applyAlignment="1">
      <alignment vertical="center"/>
    </xf>
    <xf numFmtId="0" fontId="12" fillId="0" borderId="0" xfId="0" applyFont="1"/>
    <xf numFmtId="3" fontId="0" fillId="0" borderId="0" xfId="0" applyNumberFormat="1"/>
    <xf numFmtId="0" fontId="3" fillId="0" borderId="0" xfId="0" applyFont="1"/>
    <xf numFmtId="0" fontId="2" fillId="0" borderId="0" xfId="1" applyFill="1" applyAlignment="1"/>
    <xf numFmtId="0" fontId="5" fillId="0" borderId="0" xfId="0" applyFont="1"/>
    <xf numFmtId="0" fontId="4" fillId="0" borderId="0" xfId="0" applyFont="1"/>
    <xf numFmtId="0" fontId="8" fillId="0" borderId="0" xfId="0" applyFont="1"/>
    <xf numFmtId="3" fontId="9" fillId="0" borderId="0" xfId="0" applyNumberFormat="1" applyFont="1"/>
    <xf numFmtId="0" fontId="17" fillId="0" borderId="1" xfId="0" applyFont="1" applyBorder="1" applyAlignment="1">
      <alignment horizontal="left" vertical="center" wrapText="1"/>
    </xf>
    <xf numFmtId="0" fontId="10" fillId="0" borderId="0" xfId="0" applyFont="1" applyAlignment="1">
      <alignment horizontal="left" vertical="center" wrapText="1"/>
    </xf>
    <xf numFmtId="0" fontId="10" fillId="0" borderId="2" xfId="0" applyFont="1" applyBorder="1" applyAlignment="1">
      <alignment horizontal="left" vertical="center" wrapText="1"/>
    </xf>
    <xf numFmtId="0" fontId="19" fillId="0" borderId="0" xfId="0" applyFont="1"/>
    <xf numFmtId="0" fontId="10" fillId="0" borderId="3" xfId="0" applyFont="1" applyBorder="1" applyAlignment="1">
      <alignment horizontal="left" vertical="center" wrapText="1"/>
    </xf>
    <xf numFmtId="0" fontId="10" fillId="0" borderId="0" xfId="0" applyFont="1" applyAlignment="1">
      <alignment horizontal="left" vertical="center" wrapText="1"/>
    </xf>
    <xf numFmtId="0" fontId="10" fillId="0" borderId="2" xfId="0" applyFont="1" applyBorder="1" applyAlignment="1">
      <alignment horizontal="left" vertical="center" wrapText="1"/>
    </xf>
    <xf numFmtId="0" fontId="0" fillId="0" borderId="0" xfId="0" applyFill="1"/>
  </cellXfs>
  <cellStyles count="2">
    <cellStyle name="Hyperlink" xfId="1" builtinId="8"/>
    <cellStyle name="Normal" xfId="0" builtinId="0"/>
  </cellStyles>
  <dxfs count="1">
    <dxf>
      <font>
        <color rgb="FF9C0006"/>
      </font>
      <fill>
        <patternFill>
          <bgColor rgb="FFFFC7CE"/>
        </patternFill>
      </fill>
    </dxf>
  </dxfs>
  <tableStyles count="0" defaultTableStyle="TableStyleMedium2" defaultPivotStyle="PivotStyleLight16"/>
  <colors>
    <mruColors>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9687097343091636E-2"/>
          <c:y val="2.4881176376169288E-2"/>
          <c:w val="0.8762384076990376"/>
          <c:h val="0.89779326364692214"/>
        </c:manualLayout>
      </c:layout>
      <c:scatterChart>
        <c:scatterStyle val="smoothMarker"/>
        <c:varyColors val="0"/>
        <c:ser>
          <c:idx val="0"/>
          <c:order val="0"/>
          <c:tx>
            <c:strRef>
              <c:f> </c:f>
            </c:strRef>
          </c:tx>
          <c:spPr>
            <a:ln w="19050" cap="rnd">
              <a:solidFill>
                <a:schemeClr val="accent1"/>
              </a:solidFill>
              <a:round/>
            </a:ln>
            <a:effectLst/>
          </c:spPr>
          <c:marker>
            <c:symbol val="none"/>
          </c:marker>
          <c:xVal>
            <c:numRef>
              <c:f>'Temperature of growth model'!$B$10:$B$90</c:f>
              <c:numCache>
                <c:formatCode>General</c:formatCode>
                <c:ptCount val="8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numCache>
            </c:numRef>
          </c:xVal>
          <c:yVal>
            <c:numRef>
              <c:f>'Temperature of growth model'!$F$10:$F$90</c:f>
              <c:numCache>
                <c:formatCode>General</c:formatCode>
                <c:ptCount val="8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2.4794519158822619E-2</c:v>
                </c:pt>
                <c:pt idx="17">
                  <c:v>0.15826658342421088</c:v>
                </c:pt>
                <c:pt idx="18">
                  <c:v>0.29151784510137724</c:v>
                </c:pt>
                <c:pt idx="19">
                  <c:v>0.42403448404968858</c:v>
                </c:pt>
                <c:pt idx="20">
                  <c:v>0.55456183109771362</c:v>
                </c:pt>
                <c:pt idx="21">
                  <c:v>0.6804856922350675</c:v>
                </c:pt>
                <c:pt idx="22">
                  <c:v>0.79704929791672041</c:v>
                </c:pt>
                <c:pt idx="23">
                  <c:v>0.89662875776988138</c:v>
                </c:pt>
                <c:pt idx="24">
                  <c:v>0.96853055712062108</c:v>
                </c:pt>
                <c:pt idx="25">
                  <c:v>1</c:v>
                </c:pt>
                <c:pt idx="26">
                  <c:v>0.97909792439756316</c:v>
                </c:pt>
                <c:pt idx="27">
                  <c:v>0.89945206244221199</c:v>
                </c:pt>
                <c:pt idx="28">
                  <c:v>0.76545274465775337</c:v>
                </c:pt>
                <c:pt idx="29">
                  <c:v>0.59486279295492239</c:v>
                </c:pt>
                <c:pt idx="30">
                  <c:v>0.41569653631077569</c:v>
                </c:pt>
                <c:pt idx="31">
                  <c:v>0.25707200583720985</c:v>
                </c:pt>
                <c:pt idx="32">
                  <c:v>0.13844375506990958</c:v>
                </c:pt>
                <c:pt idx="33">
                  <c:v>6.3915869286583563E-2</c:v>
                </c:pt>
                <c:pt idx="34">
                  <c:v>2.4920708185850491E-2</c:v>
                </c:pt>
                <c:pt idx="35">
                  <c:v>8.0926760074219034E-3</c:v>
                </c:pt>
                <c:pt idx="36">
                  <c:v>2.1614464266681795E-3</c:v>
                </c:pt>
                <c:pt idx="37">
                  <c:v>4.6958976363856186E-4</c:v>
                </c:pt>
                <c:pt idx="38">
                  <c:v>8.2211717625592606E-5</c:v>
                </c:pt>
                <c:pt idx="39">
                  <c:v>1.1509569109837735E-5</c:v>
                </c:pt>
                <c:pt idx="40">
                  <c:v>1.28092769548333E-6</c:v>
                </c:pt>
                <c:pt idx="41">
                  <c:v>1.1285297497223303E-7</c:v>
                </c:pt>
                <c:pt idx="42">
                  <c:v>7.8512056768783544E-9</c:v>
                </c:pt>
                <c:pt idx="43">
                  <c:v>4.3092431051047706E-10</c:v>
                </c:pt>
                <c:pt idx="44">
                  <c:v>1.8670815924183786E-11</c:v>
                </c:pt>
                <c:pt idx="45">
                  <c:v>6.3985124954013611E-13</c:v>
                </c:pt>
                <c:pt idx="46">
                  <c:v>1.7399976702703191E-14</c:v>
                </c:pt>
                <c:pt idx="47">
                  <c:v>3.7710361858768713E-16</c:v>
                </c:pt>
                <c:pt idx="48">
                  <c:v>6.5483868229843113E-18</c:v>
                </c:pt>
                <c:pt idx="49">
                  <c:v>9.167756397341112E-20</c:v>
                </c:pt>
                <c:pt idx="50">
                  <c:v>1.0419818585997186E-21</c:v>
                </c:pt>
                <c:pt idx="51">
                  <c:v>9.6873848714126349E-24</c:v>
                </c:pt>
                <c:pt idx="52">
                  <c:v>7.4268049201927043E-26</c:v>
                </c:pt>
                <c:pt idx="53">
                  <c:v>4.7349968542437342E-28</c:v>
                </c:pt>
                <c:pt idx="54">
                  <c:v>2.5325870264330651E-30</c:v>
                </c:pt>
                <c:pt idx="55">
                  <c:v>1.146659565958919E-32</c:v>
                </c:pt>
                <c:pt idx="56">
                  <c:v>4.4349413740443399E-35</c:v>
                </c:pt>
                <c:pt idx="57">
                  <c:v>1.4788058348212952E-37</c:v>
                </c:pt>
                <c:pt idx="58">
                  <c:v>4.2903493056098841E-40</c:v>
                </c:pt>
                <c:pt idx="59">
                  <c:v>1.0929459202751723E-42</c:v>
                </c:pt>
                <c:pt idx="60">
                  <c:v>2.466907427414167E-45</c:v>
                </c:pt>
                <c:pt idx="61">
                  <c:v>4.9775821319732708E-48</c:v>
                </c:pt>
                <c:pt idx="62">
                  <c:v>9.0569760952394523E-51</c:v>
                </c:pt>
                <c:pt idx="63">
                  <c:v>1.4988113010049051E-53</c:v>
                </c:pt>
                <c:pt idx="64">
                  <c:v>2.2746309307409609E-56</c:v>
                </c:pt>
                <c:pt idx="65">
                  <c:v>3.1913144776228354E-59</c:v>
                </c:pt>
                <c:pt idx="66">
                  <c:v>4.1716119980135242E-62</c:v>
                </c:pt>
                <c:pt idx="67">
                  <c:v>5.1188961358682493E-65</c:v>
                </c:pt>
                <c:pt idx="68">
                  <c:v>5.9391892950731832E-68</c:v>
                </c:pt>
                <c:pt idx="69">
                  <c:v>6.5610338579778379E-71</c:v>
                </c:pt>
                <c:pt idx="70">
                  <c:v>6.9470695942410197E-74</c:v>
                </c:pt>
                <c:pt idx="71">
                  <c:v>7.0954358311805675E-77</c:v>
                </c:pt>
                <c:pt idx="72">
                  <c:v>7.0330319022838588E-80</c:v>
                </c:pt>
                <c:pt idx="73">
                  <c:v>6.8046462766708627E-83</c:v>
                </c:pt>
                <c:pt idx="74">
                  <c:v>6.4618726577959741E-86</c:v>
                </c:pt>
                <c:pt idx="75">
                  <c:v>6.0543950889902646E-89</c:v>
                </c:pt>
                <c:pt idx="76">
                  <c:v>5.6246319587867063E-92</c:v>
                </c:pt>
                <c:pt idx="77">
                  <c:v>5.2055264186393926E-95</c:v>
                </c:pt>
                <c:pt idx="78">
                  <c:v>4.8206601066460314E-98</c:v>
                </c:pt>
                <c:pt idx="79">
                  <c:v>4.485750335169894E-101</c:v>
                </c:pt>
                <c:pt idx="80">
                  <c:v>4.2107617573685302E-104</c:v>
                </c:pt>
              </c:numCache>
            </c:numRef>
          </c:yVal>
          <c:smooth val="1"/>
          <c:extLst>
            <c:ext xmlns:c16="http://schemas.microsoft.com/office/drawing/2014/chart" uri="{C3380CC4-5D6E-409C-BE32-E72D297353CC}">
              <c16:uniqueId val="{00000000-8C5C-401B-9D71-82F35E6A424E}"/>
            </c:ext>
          </c:extLst>
        </c:ser>
        <c:ser>
          <c:idx val="1"/>
          <c:order val="1"/>
          <c:tx>
            <c:v>Data</c:v>
          </c:tx>
          <c:spPr>
            <a:ln w="19050" cap="rnd">
              <a:noFill/>
              <a:round/>
            </a:ln>
            <a:effectLst/>
          </c:spPr>
          <c:marker>
            <c:symbol val="square"/>
            <c:size val="5"/>
            <c:spPr>
              <a:solidFill>
                <a:schemeClr val="accent2"/>
              </a:solidFill>
              <a:ln w="9525">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xVal>
            <c:numRef>
              <c:f>'Temperature of growth model'!$H$10:$H$21</c:f>
              <c:numCache>
                <c:formatCode>General</c:formatCode>
                <c:ptCount val="12"/>
                <c:pt idx="0">
                  <c:v>20</c:v>
                </c:pt>
                <c:pt idx="1">
                  <c:v>22</c:v>
                </c:pt>
                <c:pt idx="2">
                  <c:v>24</c:v>
                </c:pt>
                <c:pt idx="3">
                  <c:v>26</c:v>
                </c:pt>
                <c:pt idx="4">
                  <c:v>28</c:v>
                </c:pt>
                <c:pt idx="5">
                  <c:v>30</c:v>
                </c:pt>
              </c:numCache>
            </c:numRef>
          </c:xVal>
          <c:yVal>
            <c:numRef>
              <c:f>'Temperature of growth model'!$J$10:$J$21</c:f>
              <c:numCache>
                <c:formatCode>General</c:formatCode>
                <c:ptCount val="12"/>
                <c:pt idx="0">
                  <c:v>0.43821035469260955</c:v>
                </c:pt>
                <c:pt idx="1">
                  <c:v>0.62702682556972855</c:v>
                </c:pt>
                <c:pt idx="2">
                  <c:v>0.95116658644760077</c:v>
                </c:pt>
                <c:pt idx="3">
                  <c:v>0.94292574506935012</c:v>
                </c:pt>
                <c:pt idx="4">
                  <c:v>0.93757642698171328</c:v>
                </c:pt>
                <c:pt idx="5">
                  <c:v>0.60389463924481357</c:v>
                </c:pt>
                <c:pt idx="6">
                  <c:v>0</c:v>
                </c:pt>
                <c:pt idx="7">
                  <c:v>0</c:v>
                </c:pt>
                <c:pt idx="8">
                  <c:v>0</c:v>
                </c:pt>
                <c:pt idx="9">
                  <c:v>0</c:v>
                </c:pt>
                <c:pt idx="10">
                  <c:v>0</c:v>
                </c:pt>
                <c:pt idx="11">
                  <c:v>0</c:v>
                </c:pt>
              </c:numCache>
            </c:numRef>
          </c:yVal>
          <c:smooth val="1"/>
          <c:extLst>
            <c:ext xmlns:c16="http://schemas.microsoft.com/office/drawing/2014/chart" uri="{C3380CC4-5D6E-409C-BE32-E72D297353CC}">
              <c16:uniqueId val="{00000002-8C5C-401B-9D71-82F35E6A424E}"/>
            </c:ext>
          </c:extLst>
        </c:ser>
        <c:dLbls>
          <c:showLegendKey val="0"/>
          <c:showVal val="0"/>
          <c:showCatName val="0"/>
          <c:showSerName val="0"/>
          <c:showPercent val="0"/>
          <c:showBubbleSize val="0"/>
        </c:dLbls>
        <c:axId val="1011393752"/>
        <c:axId val="1011394112"/>
      </c:scatterChart>
      <c:valAx>
        <c:axId val="1011393752"/>
        <c:scaling>
          <c:orientation val="minMax"/>
          <c:max val="7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394112"/>
        <c:crosses val="autoZero"/>
        <c:crossBetween val="midCat"/>
        <c:majorUnit val="5"/>
      </c:valAx>
      <c:valAx>
        <c:axId val="10113941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3937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245957</xdr:colOff>
      <xdr:row>25</xdr:row>
      <xdr:rowOff>33445</xdr:rowOff>
    </xdr:from>
    <xdr:to>
      <xdr:col>11</xdr:col>
      <xdr:colOff>410422</xdr:colOff>
      <xdr:row>40</xdr:row>
      <xdr:rowOff>35350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15</xdr:col>
          <xdr:colOff>228600</xdr:colOff>
          <xdr:row>11</xdr:row>
          <xdr:rowOff>22860</xdr:rowOff>
        </xdr:from>
        <xdr:to>
          <xdr:col>17</xdr:col>
          <xdr:colOff>342900</xdr:colOff>
          <xdr:row>15</xdr:row>
          <xdr:rowOff>160020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190500</xdr:colOff>
          <xdr:row>16</xdr:row>
          <xdr:rowOff>60960</xdr:rowOff>
        </xdr:from>
        <xdr:to>
          <xdr:col>17</xdr:col>
          <xdr:colOff>335280</xdr:colOff>
          <xdr:row>20</xdr:row>
          <xdr:rowOff>76200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200-00001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Continue running</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9" dT="2025-02-26T15:52:19.99" personId="{00000000-0000-0000-0000-000000000000}" id="{BD6D9E66-1531-4D22-9F52-577E8058486C}">
    <text>Shouldn’t be H10 instead of H9. I suggest adding the name of the Sheet where thew Temperatures should be added.</text>
  </threadedComment>
  <threadedComment ref="D51" dT="2025-02-26T15:55:38.88" personId="{00000000-0000-0000-0000-000000000000}" id="{D66D6165-54E6-4714-834E-11CA26D3F50D}">
    <text>In I9-I94? Is that correct, in which Sheet?</text>
  </threadedComment>
  <threadedComment ref="D53" dT="2025-02-26T15:59:42.81" personId="{00000000-0000-0000-0000-000000000000}" id="{D3DF00D5-CFA2-44DD-8889-7ED219E3F067}">
    <text>Is the “Excel is dumb” necessary?</text>
  </threadedComment>
  <threadedComment ref="E54" dT="2025-02-26T15:57:28.66" personId="{00000000-0000-0000-0000-000000000000}" id="{8BAF22F7-02C0-4C76-ADFF-F46BB02FF3E6}">
    <text>Instead of of, should be is?</text>
  </threadedComment>
  <threadedComment ref="E59" dT="2025-02-26T15:58:56.06" personId="{00000000-0000-0000-0000-000000000000}" id="{A0D48725-EFA1-41FF-A5E4-11D6C9BFB5B8}">
    <text>Should be D7 instead of D6?</text>
  </threadedComment>
</ThreadedComments>
</file>

<file path=xl/threadedComments/threadedComment2.xml><?xml version="1.0" encoding="utf-8"?>
<ThreadedComments xmlns="http://schemas.microsoft.com/office/spreadsheetml/2018/threadedcomments" xmlns:x="http://schemas.openxmlformats.org/spreadsheetml/2006/main">
  <threadedComment ref="B8" dT="2025-03-03T09:30:58.07" personId="{00000000-0000-0000-0000-000000000000}" id="{8C5F7B28-F303-4635-8739-073A9E0360F3}">
    <text>Is this mistake, or was actually in the source written like that (not capitalised genus name). This can be observed in several cases</text>
  </threadedComment>
  <threadedComment ref="B25" dT="2025-03-03T09:33:40.17" personId="{00000000-0000-0000-0000-000000000000}" id="{B5962D4A-603C-48CC-9581-44DADF98B307}">
    <text>I did not highlight all, here are just some examples of names with not capitalised genome name</text>
  </threadedComment>
  <threadedComment ref="D503" dT="2025-03-03T09:32:07.12" personId="{00000000-0000-0000-0000-000000000000}" id="{FFA8E8F4-B9C6-465C-BDEC-5CF64FC27B65}">
    <text>Is there specific reason why this cell is highlighted?</text>
  </threadedComment>
  <threadedComment ref="D737" dT="2025-03-03T09:32:48.05" personId="{00000000-0000-0000-0000-000000000000}" id="{B7586B2B-7429-459C-BA25-B270624BEF6B}">
    <text>Is this needed here? If yes, maybe mark this cell somehow.</text>
  </threadedComment>
</ThreadedComments>
</file>

<file path=xl/threadedComments/threadedComment3.xml><?xml version="1.0" encoding="utf-8"?>
<ThreadedComments xmlns="http://schemas.microsoft.com/office/spreadsheetml/2018/threadedcomments" xmlns:x="http://schemas.openxmlformats.org/spreadsheetml/2006/main">
  <threadedComment ref="R4" dT="2025-03-03T09:48:31.86" personId="{00000000-0000-0000-0000-000000000000}" id="{608EFC99-A2BF-4C96-A21A-D0F9DF2F2C7D}">
    <text>Maybe mark this somehow</text>
  </threadedComment>
  <threadedComment ref="R10" dT="2025-03-03T09:49:05.73" personId="{00000000-0000-0000-0000-000000000000}" id="{8CA90B6B-E210-4126-95ED-8C59F0A85312}">
    <text>What are these numbers?</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5-03-03T09:50:20.72" personId="{00000000-0000-0000-0000-000000000000}" id="{86727B84-307F-404F-9A4E-97CA6F129CD9}">
    <text xml:space="preserve">All the names should be written with capital genome letter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2.bin"/><Relationship Id="rId1" Type="http://schemas.openxmlformats.org/officeDocument/2006/relationships/hyperlink" Target="https://www.scielo.br/j/bjm/a/KP6N3FdpK3ytNSwHvQqDr3F/?lang=en"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17/10/relationships/threadedComment" Target="../threadedComments/threadedComment3.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6BC4-F4D0-429C-A92F-36F240AB4BFE}">
  <dimension ref="B3:G73"/>
  <sheetViews>
    <sheetView topLeftCell="A43" workbookViewId="0">
      <selection activeCell="E63" sqref="E63"/>
    </sheetView>
  </sheetViews>
  <sheetFormatPr defaultRowHeight="14.4" x14ac:dyDescent="0.3"/>
  <cols>
    <col min="4" max="4" width="15.44140625" customWidth="1"/>
    <col min="5" max="5" width="19" customWidth="1"/>
    <col min="6" max="6" width="57.44140625" customWidth="1"/>
    <col min="7" max="7" width="20" customWidth="1"/>
  </cols>
  <sheetData>
    <row r="3" spans="2:3" x14ac:dyDescent="0.3">
      <c r="B3" t="s">
        <v>3649</v>
      </c>
    </row>
    <row r="4" spans="2:3" x14ac:dyDescent="0.3">
      <c r="B4" t="s">
        <v>3645</v>
      </c>
    </row>
    <row r="5" spans="2:3" x14ac:dyDescent="0.3">
      <c r="B5" t="s">
        <v>3646</v>
      </c>
    </row>
    <row r="7" spans="2:3" x14ac:dyDescent="0.3">
      <c r="B7" t="s">
        <v>3647</v>
      </c>
    </row>
    <row r="8" spans="2:3" x14ac:dyDescent="0.3">
      <c r="B8" t="s">
        <v>3648</v>
      </c>
    </row>
    <row r="10" spans="2:3" x14ac:dyDescent="0.3">
      <c r="B10" t="s">
        <v>3650</v>
      </c>
    </row>
    <row r="12" spans="2:3" x14ac:dyDescent="0.3">
      <c r="B12" t="s">
        <v>3651</v>
      </c>
    </row>
    <row r="13" spans="2:3" x14ac:dyDescent="0.3">
      <c r="C13" t="s">
        <v>3652</v>
      </c>
    </row>
    <row r="15" spans="2:3" x14ac:dyDescent="0.3">
      <c r="B15" t="s">
        <v>3653</v>
      </c>
    </row>
    <row r="16" spans="2:3" x14ac:dyDescent="0.3">
      <c r="C16" t="s">
        <v>3654</v>
      </c>
    </row>
    <row r="17" spans="3:7" ht="15" thickBot="1" x14ac:dyDescent="0.35">
      <c r="C17" t="s">
        <v>3655</v>
      </c>
    </row>
    <row r="18" spans="3:7" s="5" customFormat="1" ht="15.6" thickBot="1" x14ac:dyDescent="0.35">
      <c r="D18" s="19" t="s">
        <v>3656</v>
      </c>
      <c r="E18" s="19" t="s">
        <v>3657</v>
      </c>
      <c r="F18" s="19" t="s">
        <v>3658</v>
      </c>
      <c r="G18" s="19" t="s">
        <v>409</v>
      </c>
    </row>
    <row r="19" spans="3:7" s="5" customFormat="1" ht="30" x14ac:dyDescent="0.3">
      <c r="D19" s="23" t="s">
        <v>3034</v>
      </c>
      <c r="E19" s="20" t="s">
        <v>2042</v>
      </c>
      <c r="F19" s="5" t="s">
        <v>3659</v>
      </c>
      <c r="G19" s="20" t="s">
        <v>3660</v>
      </c>
    </row>
    <row r="20" spans="3:7" s="5" customFormat="1" ht="15" x14ac:dyDescent="0.3">
      <c r="D20" s="24"/>
      <c r="E20" s="20" t="s">
        <v>2041</v>
      </c>
      <c r="F20" s="20" t="s">
        <v>3661</v>
      </c>
      <c r="G20" s="20" t="s">
        <v>3660</v>
      </c>
    </row>
    <row r="21" spans="3:7" s="5" customFormat="1" ht="30.6" thickBot="1" x14ac:dyDescent="0.35">
      <c r="D21" s="25"/>
      <c r="E21" s="21" t="s">
        <v>2047</v>
      </c>
      <c r="F21" s="21" t="s">
        <v>3662</v>
      </c>
      <c r="G21" s="21" t="s">
        <v>3660</v>
      </c>
    </row>
    <row r="22" spans="3:7" s="5" customFormat="1" ht="15" x14ac:dyDescent="0.3">
      <c r="D22" s="23" t="s">
        <v>2037</v>
      </c>
      <c r="E22" s="20" t="s">
        <v>0</v>
      </c>
      <c r="F22" s="20" t="s">
        <v>3663</v>
      </c>
      <c r="G22" s="20" t="s">
        <v>3664</v>
      </c>
    </row>
    <row r="23" spans="3:7" s="5" customFormat="1" ht="15" x14ac:dyDescent="0.3">
      <c r="D23" s="24"/>
      <c r="E23" s="20" t="s">
        <v>1722</v>
      </c>
      <c r="F23" s="20" t="s">
        <v>3665</v>
      </c>
      <c r="G23" s="20" t="s">
        <v>3666</v>
      </c>
    </row>
    <row r="24" spans="3:7" s="5" customFormat="1" ht="15" x14ac:dyDescent="0.3">
      <c r="D24" s="24"/>
      <c r="E24" s="20" t="s">
        <v>298</v>
      </c>
      <c r="F24" s="20" t="s">
        <v>3667</v>
      </c>
      <c r="G24" s="20" t="s">
        <v>3668</v>
      </c>
    </row>
    <row r="25" spans="3:7" s="5" customFormat="1" ht="30.6" thickBot="1" x14ac:dyDescent="0.35">
      <c r="D25" s="25"/>
      <c r="E25" s="21" t="s">
        <v>2536</v>
      </c>
      <c r="F25" s="21" t="s">
        <v>3669</v>
      </c>
      <c r="G25" s="21" t="s">
        <v>3660</v>
      </c>
    </row>
    <row r="26" spans="3:7" s="5" customFormat="1" ht="15" x14ac:dyDescent="0.3">
      <c r="D26" s="23" t="s">
        <v>2038</v>
      </c>
      <c r="E26" s="20" t="s">
        <v>2007</v>
      </c>
      <c r="F26" s="20" t="s">
        <v>3670</v>
      </c>
      <c r="G26" s="20" t="s">
        <v>3660</v>
      </c>
    </row>
    <row r="27" spans="3:7" s="5" customFormat="1" ht="15" x14ac:dyDescent="0.3">
      <c r="D27" s="24"/>
      <c r="E27" s="20" t="s">
        <v>1748</v>
      </c>
      <c r="F27" s="20" t="s">
        <v>3671</v>
      </c>
      <c r="G27" s="20" t="s">
        <v>3666</v>
      </c>
    </row>
    <row r="28" spans="3:7" s="5" customFormat="1" ht="30.6" thickBot="1" x14ac:dyDescent="0.35">
      <c r="D28" s="25"/>
      <c r="E28" s="21" t="s">
        <v>1749</v>
      </c>
      <c r="F28" s="21" t="s">
        <v>3672</v>
      </c>
      <c r="G28" s="21" t="s">
        <v>3666</v>
      </c>
    </row>
    <row r="29" spans="3:7" s="5" customFormat="1" ht="15" x14ac:dyDescent="0.3">
      <c r="D29" s="23" t="s">
        <v>432</v>
      </c>
      <c r="E29" s="20" t="s">
        <v>231</v>
      </c>
      <c r="F29" s="20" t="s">
        <v>3673</v>
      </c>
      <c r="G29" s="20" t="s">
        <v>3664</v>
      </c>
    </row>
    <row r="30" spans="3:7" s="5" customFormat="1" ht="15" x14ac:dyDescent="0.3">
      <c r="D30" s="24"/>
      <c r="E30" s="20" t="s">
        <v>232</v>
      </c>
      <c r="F30" s="20" t="s">
        <v>3674</v>
      </c>
      <c r="G30" s="20" t="s">
        <v>3664</v>
      </c>
    </row>
    <row r="31" spans="3:7" s="5" customFormat="1" ht="30" x14ac:dyDescent="0.3">
      <c r="D31" s="24"/>
      <c r="E31" s="20" t="s">
        <v>225</v>
      </c>
      <c r="F31" s="20" t="s">
        <v>3675</v>
      </c>
      <c r="G31" s="20" t="s">
        <v>3660</v>
      </c>
    </row>
    <row r="32" spans="3:7" s="5" customFormat="1" ht="30.6" thickBot="1" x14ac:dyDescent="0.35">
      <c r="D32" s="25"/>
      <c r="E32" s="21" t="s">
        <v>2536</v>
      </c>
      <c r="F32" s="21" t="s">
        <v>3676</v>
      </c>
      <c r="G32" s="21" t="s">
        <v>3660</v>
      </c>
    </row>
    <row r="33" spans="2:7" s="5" customFormat="1" ht="30" x14ac:dyDescent="0.3">
      <c r="D33" s="23" t="s">
        <v>1692</v>
      </c>
      <c r="E33" s="20" t="s">
        <v>231</v>
      </c>
      <c r="F33" s="20" t="s">
        <v>3677</v>
      </c>
      <c r="G33" s="20" t="s">
        <v>3664</v>
      </c>
    </row>
    <row r="34" spans="2:7" s="5" customFormat="1" ht="30" x14ac:dyDescent="0.3">
      <c r="D34" s="24"/>
      <c r="E34" s="20" t="s">
        <v>232</v>
      </c>
      <c r="F34" s="20" t="s">
        <v>3678</v>
      </c>
      <c r="G34" s="20" t="s">
        <v>3664</v>
      </c>
    </row>
    <row r="35" spans="2:7" s="5" customFormat="1" ht="30.6" thickBot="1" x14ac:dyDescent="0.35">
      <c r="D35" s="25"/>
      <c r="E35" s="21" t="s">
        <v>1690</v>
      </c>
      <c r="F35" s="21" t="s">
        <v>3679</v>
      </c>
      <c r="G35" s="21" t="s">
        <v>3666</v>
      </c>
    </row>
    <row r="36" spans="2:7" s="5" customFormat="1" ht="15" x14ac:dyDescent="0.3">
      <c r="D36" s="23" t="s">
        <v>3031</v>
      </c>
      <c r="E36" s="20" t="s">
        <v>2035</v>
      </c>
      <c r="F36" s="20" t="s">
        <v>3680</v>
      </c>
      <c r="G36" s="20" t="s">
        <v>3664</v>
      </c>
    </row>
    <row r="37" spans="2:7" s="5" customFormat="1" ht="15.6" thickBot="1" x14ac:dyDescent="0.35">
      <c r="D37" s="25"/>
      <c r="E37" s="21" t="s">
        <v>2036</v>
      </c>
      <c r="F37" s="21" t="s">
        <v>3681</v>
      </c>
      <c r="G37" s="21" t="s">
        <v>3664</v>
      </c>
    </row>
    <row r="38" spans="2:7" s="5" customFormat="1" ht="30" x14ac:dyDescent="0.3">
      <c r="D38" s="23" t="s">
        <v>3032</v>
      </c>
      <c r="E38" s="20" t="s">
        <v>3033</v>
      </c>
      <c r="F38" s="20" t="s">
        <v>3682</v>
      </c>
      <c r="G38" s="20" t="s">
        <v>3660</v>
      </c>
    </row>
    <row r="39" spans="2:7" s="5" customFormat="1" ht="15" x14ac:dyDescent="0.3">
      <c r="D39" s="24"/>
      <c r="E39" s="20" t="s">
        <v>2008</v>
      </c>
      <c r="F39" s="20" t="s">
        <v>3683</v>
      </c>
      <c r="G39" s="20" t="s">
        <v>3660</v>
      </c>
    </row>
    <row r="40" spans="2:7" s="5" customFormat="1" ht="15" x14ac:dyDescent="0.3">
      <c r="D40" s="24"/>
      <c r="E40" s="20" t="s">
        <v>2013</v>
      </c>
      <c r="F40" s="20" t="s">
        <v>3684</v>
      </c>
      <c r="G40" s="20" t="s">
        <v>3660</v>
      </c>
    </row>
    <row r="41" spans="2:7" s="5" customFormat="1" ht="15" x14ac:dyDescent="0.3">
      <c r="D41" s="24"/>
      <c r="E41" s="20" t="s">
        <v>2012</v>
      </c>
      <c r="F41" s="20" t="s">
        <v>3685</v>
      </c>
      <c r="G41" s="20" t="s">
        <v>3660</v>
      </c>
    </row>
    <row r="42" spans="2:7" s="5" customFormat="1" ht="15.6" thickBot="1" x14ac:dyDescent="0.35">
      <c r="D42" s="25"/>
      <c r="E42" s="21" t="s">
        <v>2034</v>
      </c>
      <c r="F42" s="21" t="s">
        <v>3686</v>
      </c>
      <c r="G42" s="21" t="s">
        <v>3660</v>
      </c>
    </row>
    <row r="44" spans="2:7" x14ac:dyDescent="0.3">
      <c r="C44" t="s">
        <v>3687</v>
      </c>
    </row>
    <row r="46" spans="2:7" x14ac:dyDescent="0.3">
      <c r="B46" t="s">
        <v>3688</v>
      </c>
    </row>
    <row r="47" spans="2:7" x14ac:dyDescent="0.3">
      <c r="C47" t="s">
        <v>3689</v>
      </c>
    </row>
    <row r="48" spans="2:7" x14ac:dyDescent="0.3">
      <c r="C48" t="s">
        <v>3690</v>
      </c>
    </row>
    <row r="49" spans="2:5" x14ac:dyDescent="0.3">
      <c r="D49" t="s">
        <v>3708</v>
      </c>
    </row>
    <row r="50" spans="2:5" x14ac:dyDescent="0.3">
      <c r="E50" t="s">
        <v>3691</v>
      </c>
    </row>
    <row r="51" spans="2:5" x14ac:dyDescent="0.3">
      <c r="D51" t="s">
        <v>3709</v>
      </c>
    </row>
    <row r="52" spans="2:5" x14ac:dyDescent="0.3">
      <c r="E52" t="s">
        <v>3692</v>
      </c>
    </row>
    <row r="53" spans="2:5" x14ac:dyDescent="0.3">
      <c r="D53" t="s">
        <v>3711</v>
      </c>
    </row>
    <row r="54" spans="2:5" x14ac:dyDescent="0.3">
      <c r="E54" t="s">
        <v>3710</v>
      </c>
    </row>
    <row r="55" spans="2:5" x14ac:dyDescent="0.3">
      <c r="D55" t="s">
        <v>3693</v>
      </c>
    </row>
    <row r="56" spans="2:5" x14ac:dyDescent="0.3">
      <c r="D56" t="s">
        <v>3694</v>
      </c>
    </row>
    <row r="57" spans="2:5" x14ac:dyDescent="0.3">
      <c r="E57" t="s">
        <v>3695</v>
      </c>
    </row>
    <row r="58" spans="2:5" x14ac:dyDescent="0.3">
      <c r="E58" t="s">
        <v>3696</v>
      </c>
    </row>
    <row r="59" spans="2:5" x14ac:dyDescent="0.3">
      <c r="E59" t="s">
        <v>3712</v>
      </c>
    </row>
    <row r="60" spans="2:5" x14ac:dyDescent="0.3">
      <c r="E60" t="s">
        <v>3696</v>
      </c>
    </row>
    <row r="61" spans="2:5" x14ac:dyDescent="0.3">
      <c r="E61" s="22" t="s">
        <v>3713</v>
      </c>
    </row>
    <row r="63" spans="2:5" x14ac:dyDescent="0.3">
      <c r="B63" t="s">
        <v>3697</v>
      </c>
    </row>
    <row r="64" spans="2:5" x14ac:dyDescent="0.3">
      <c r="C64" t="s">
        <v>3698</v>
      </c>
    </row>
    <row r="66" spans="2:4" x14ac:dyDescent="0.3">
      <c r="B66" t="s">
        <v>3699</v>
      </c>
    </row>
    <row r="67" spans="2:4" x14ac:dyDescent="0.3">
      <c r="C67" t="s">
        <v>3700</v>
      </c>
    </row>
    <row r="68" spans="2:4" x14ac:dyDescent="0.3">
      <c r="D68" t="s">
        <v>3701</v>
      </c>
    </row>
    <row r="69" spans="2:4" x14ac:dyDescent="0.3">
      <c r="D69" t="s">
        <v>3702</v>
      </c>
    </row>
    <row r="70" spans="2:4" x14ac:dyDescent="0.3">
      <c r="D70" t="s">
        <v>3703</v>
      </c>
    </row>
    <row r="71" spans="2:4" x14ac:dyDescent="0.3">
      <c r="D71" t="s">
        <v>3704</v>
      </c>
    </row>
    <row r="72" spans="2:4" x14ac:dyDescent="0.3">
      <c r="D72" t="s">
        <v>3705</v>
      </c>
    </row>
    <row r="73" spans="2:4" x14ac:dyDescent="0.3">
      <c r="D73" t="s">
        <v>3706</v>
      </c>
    </row>
  </sheetData>
  <mergeCells count="7">
    <mergeCell ref="D38:D42"/>
    <mergeCell ref="D19:D21"/>
    <mergeCell ref="D22:D25"/>
    <mergeCell ref="D26:D28"/>
    <mergeCell ref="D29:D32"/>
    <mergeCell ref="D33:D35"/>
    <mergeCell ref="D36:D37"/>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07DA-F012-494F-AD54-2A4D10CE64FD}">
  <sheetPr codeName="Sheet12"/>
  <dimension ref="A3:AB1360"/>
  <sheetViews>
    <sheetView tabSelected="1" zoomScaleNormal="100" workbookViewId="0">
      <pane xSplit="1" ySplit="5" topLeftCell="B71" activePane="bottomRight" state="frozen"/>
      <selection pane="topRight" activeCell="B1" sqref="B1"/>
      <selection pane="bottomLeft" activeCell="A6" sqref="A6"/>
      <selection pane="bottomRight" activeCell="B25" sqref="B25"/>
    </sheetView>
  </sheetViews>
  <sheetFormatPr defaultRowHeight="14.4" x14ac:dyDescent="0.3"/>
  <cols>
    <col min="1" max="1" width="24.5546875" customWidth="1"/>
    <col min="2" max="2" width="15.44140625" customWidth="1"/>
    <col min="3" max="3" width="14.6640625" customWidth="1"/>
    <col min="4" max="4" width="10.44140625" customWidth="1"/>
    <col min="7" max="7" width="16.33203125" customWidth="1"/>
    <col min="8" max="10" width="20.33203125" style="7" customWidth="1"/>
    <col min="14" max="14" width="18.5546875" customWidth="1"/>
    <col min="15" max="16" width="8.44140625" customWidth="1"/>
    <col min="17" max="17" width="8.88671875" customWidth="1"/>
    <col min="24" max="24" width="19.88671875" customWidth="1"/>
  </cols>
  <sheetData>
    <row r="3" spans="1:24" ht="15.6" x14ac:dyDescent="0.3">
      <c r="T3" s="1"/>
      <c r="U3" s="1"/>
      <c r="V3" s="1"/>
      <c r="W3" s="1"/>
      <c r="X3" s="1"/>
    </row>
    <row r="4" spans="1:24" s="1" customFormat="1" ht="15.6" x14ac:dyDescent="0.3">
      <c r="A4" s="1" t="s">
        <v>3034</v>
      </c>
      <c r="D4" s="1" t="s">
        <v>2037</v>
      </c>
      <c r="H4" s="7" t="s">
        <v>2038</v>
      </c>
      <c r="I4" s="7"/>
      <c r="J4" s="7"/>
      <c r="K4" s="1" t="s">
        <v>432</v>
      </c>
      <c r="O4" s="1" t="s">
        <v>1692</v>
      </c>
      <c r="R4" t="s">
        <v>3031</v>
      </c>
      <c r="T4" t="s">
        <v>3032</v>
      </c>
      <c r="W4"/>
      <c r="X4"/>
    </row>
    <row r="5" spans="1:24" x14ac:dyDescent="0.3">
      <c r="A5" t="s">
        <v>2042</v>
      </c>
      <c r="B5" t="s">
        <v>2041</v>
      </c>
      <c r="C5" t="s">
        <v>2047</v>
      </c>
      <c r="D5" t="s">
        <v>0</v>
      </c>
      <c r="E5" t="s">
        <v>1722</v>
      </c>
      <c r="F5" t="s">
        <v>298</v>
      </c>
      <c r="G5" t="s">
        <v>2536</v>
      </c>
      <c r="H5" s="7" t="s">
        <v>2007</v>
      </c>
      <c r="I5" s="7" t="s">
        <v>1748</v>
      </c>
      <c r="J5" s="7" t="s">
        <v>1749</v>
      </c>
      <c r="K5" t="s">
        <v>231</v>
      </c>
      <c r="L5" t="s">
        <v>232</v>
      </c>
      <c r="M5" t="s">
        <v>225</v>
      </c>
      <c r="N5" t="s">
        <v>2536</v>
      </c>
      <c r="O5" t="s">
        <v>231</v>
      </c>
      <c r="P5" t="s">
        <v>232</v>
      </c>
      <c r="Q5" t="s">
        <v>1690</v>
      </c>
      <c r="R5" t="s">
        <v>2035</v>
      </c>
      <c r="S5" t="s">
        <v>2036</v>
      </c>
      <c r="T5" t="s">
        <v>3033</v>
      </c>
      <c r="U5" t="s">
        <v>2008</v>
      </c>
      <c r="V5" t="s">
        <v>2013</v>
      </c>
      <c r="W5" t="s">
        <v>2012</v>
      </c>
      <c r="X5" t="s">
        <v>2034</v>
      </c>
    </row>
    <row r="6" spans="1:24" x14ac:dyDescent="0.3">
      <c r="A6" t="s">
        <v>1311</v>
      </c>
      <c r="B6" t="s">
        <v>681</v>
      </c>
      <c r="D6">
        <v>48.7</v>
      </c>
      <c r="E6">
        <v>14891</v>
      </c>
      <c r="F6">
        <v>44.5</v>
      </c>
      <c r="G6" s="11"/>
      <c r="H6" t="s">
        <v>1746</v>
      </c>
      <c r="I6">
        <v>14825</v>
      </c>
      <c r="J6">
        <v>6549974</v>
      </c>
      <c r="K6">
        <v>4</v>
      </c>
      <c r="L6">
        <v>37</v>
      </c>
      <c r="M6" t="s">
        <v>226</v>
      </c>
      <c r="N6" s="6" t="s">
        <v>2163</v>
      </c>
      <c r="R6">
        <v>4</v>
      </c>
      <c r="S6">
        <v>37</v>
      </c>
      <c r="T6" t="s">
        <v>589</v>
      </c>
      <c r="U6" t="s">
        <v>2009</v>
      </c>
      <c r="V6" t="s">
        <v>2023</v>
      </c>
      <c r="W6" t="s">
        <v>2014</v>
      </c>
      <c r="X6" t="s">
        <v>3037</v>
      </c>
    </row>
    <row r="7" spans="1:24" x14ac:dyDescent="0.3">
      <c r="A7" t="s">
        <v>1081</v>
      </c>
      <c r="B7" t="s">
        <v>569</v>
      </c>
      <c r="D7">
        <v>36.601999999999997</v>
      </c>
      <c r="E7">
        <v>10038</v>
      </c>
      <c r="F7">
        <v>47</v>
      </c>
      <c r="G7" s="11"/>
      <c r="H7" t="s">
        <v>340</v>
      </c>
      <c r="I7">
        <v>8361</v>
      </c>
      <c r="J7">
        <v>4860374</v>
      </c>
      <c r="K7">
        <v>14</v>
      </c>
      <c r="L7">
        <v>48</v>
      </c>
      <c r="M7" t="s">
        <v>227</v>
      </c>
      <c r="N7" s="6" t="s">
        <v>2164</v>
      </c>
      <c r="R7">
        <v>14</v>
      </c>
      <c r="S7">
        <v>48</v>
      </c>
      <c r="T7" t="s">
        <v>590</v>
      </c>
      <c r="U7" t="s">
        <v>2009</v>
      </c>
      <c r="V7" t="s">
        <v>2023</v>
      </c>
      <c r="W7" t="s">
        <v>2014</v>
      </c>
      <c r="X7" t="s">
        <v>3038</v>
      </c>
    </row>
    <row r="8" spans="1:24" x14ac:dyDescent="0.3">
      <c r="A8" t="s">
        <v>829</v>
      </c>
      <c r="B8" s="3" t="s">
        <v>3714</v>
      </c>
      <c r="D8">
        <v>30.42</v>
      </c>
      <c r="E8">
        <v>10438</v>
      </c>
      <c r="F8">
        <v>46.5</v>
      </c>
      <c r="G8" s="8" t="s">
        <v>2048</v>
      </c>
      <c r="H8" t="s">
        <v>1746</v>
      </c>
      <c r="I8">
        <v>11675</v>
      </c>
      <c r="J8">
        <v>5695932</v>
      </c>
      <c r="K8">
        <v>7.5</v>
      </c>
      <c r="L8">
        <v>34</v>
      </c>
      <c r="M8" t="s">
        <v>226</v>
      </c>
      <c r="N8" s="6" t="s">
        <v>2165</v>
      </c>
      <c r="R8">
        <v>7.5</v>
      </c>
      <c r="S8">
        <v>34</v>
      </c>
      <c r="T8" t="s">
        <v>1753</v>
      </c>
      <c r="U8" t="s">
        <v>2009</v>
      </c>
      <c r="V8" t="s">
        <v>2024</v>
      </c>
      <c r="W8" t="s">
        <v>2015</v>
      </c>
      <c r="X8" t="s">
        <v>3039</v>
      </c>
    </row>
    <row r="9" spans="1:24" x14ac:dyDescent="0.3">
      <c r="A9" t="s">
        <v>830</v>
      </c>
      <c r="B9" t="s">
        <v>558</v>
      </c>
      <c r="C9" t="s">
        <v>749</v>
      </c>
      <c r="D9">
        <v>32.299999999999997</v>
      </c>
      <c r="E9">
        <v>10028</v>
      </c>
      <c r="F9">
        <v>45.19</v>
      </c>
      <c r="G9" s="8" t="s">
        <v>2048</v>
      </c>
      <c r="H9" t="s">
        <v>383</v>
      </c>
      <c r="I9" t="s">
        <v>383</v>
      </c>
      <c r="J9" t="s">
        <v>383</v>
      </c>
      <c r="K9">
        <v>15</v>
      </c>
      <c r="L9">
        <v>36</v>
      </c>
      <c r="M9" t="s">
        <v>226</v>
      </c>
      <c r="N9" s="6" t="s">
        <v>2166</v>
      </c>
      <c r="R9">
        <v>15</v>
      </c>
      <c r="S9">
        <v>36</v>
      </c>
      <c r="T9" t="s">
        <v>1753</v>
      </c>
      <c r="U9" t="s">
        <v>2009</v>
      </c>
      <c r="V9" t="s">
        <v>2024</v>
      </c>
      <c r="W9" t="s">
        <v>2015</v>
      </c>
      <c r="X9" t="s">
        <v>3039</v>
      </c>
    </row>
    <row r="10" spans="1:24" x14ac:dyDescent="0.3">
      <c r="A10" t="s">
        <v>831</v>
      </c>
      <c r="B10" t="s">
        <v>527</v>
      </c>
      <c r="D10">
        <v>38.686</v>
      </c>
      <c r="E10">
        <v>10119</v>
      </c>
      <c r="F10">
        <v>49.59</v>
      </c>
      <c r="G10" s="8" t="s">
        <v>2049</v>
      </c>
      <c r="H10" t="s">
        <v>383</v>
      </c>
      <c r="I10" t="s">
        <v>383</v>
      </c>
      <c r="J10" t="s">
        <v>383</v>
      </c>
      <c r="K10">
        <v>5</v>
      </c>
      <c r="L10">
        <v>35</v>
      </c>
      <c r="M10" t="s">
        <v>226</v>
      </c>
      <c r="N10" s="6" t="s">
        <v>2167</v>
      </c>
      <c r="R10">
        <v>5</v>
      </c>
      <c r="S10">
        <v>35</v>
      </c>
      <c r="T10" t="s">
        <v>1753</v>
      </c>
      <c r="U10" t="s">
        <v>2009</v>
      </c>
      <c r="V10" t="s">
        <v>2024</v>
      </c>
      <c r="W10" t="s">
        <v>2015</v>
      </c>
      <c r="X10" t="s">
        <v>3039</v>
      </c>
    </row>
    <row r="11" spans="1:24" x14ac:dyDescent="0.3">
      <c r="A11" t="s">
        <v>1428</v>
      </c>
      <c r="B11" s="3" t="s">
        <v>3715</v>
      </c>
      <c r="C11" t="s">
        <v>1700</v>
      </c>
      <c r="D11">
        <v>70.61</v>
      </c>
      <c r="E11">
        <f>AVERAGE(16743,17097)</f>
        <v>16920</v>
      </c>
      <c r="F11">
        <v>46.28</v>
      </c>
      <c r="G11" s="8" t="s">
        <v>2050</v>
      </c>
      <c r="H11" t="s">
        <v>383</v>
      </c>
      <c r="I11" t="s">
        <v>383</v>
      </c>
      <c r="J11" t="s">
        <v>383</v>
      </c>
      <c r="M11" t="s">
        <v>1691</v>
      </c>
      <c r="N11" s="6" t="s">
        <v>2168</v>
      </c>
      <c r="O11">
        <v>8</v>
      </c>
      <c r="P11">
        <v>42</v>
      </c>
      <c r="Q11">
        <v>15</v>
      </c>
      <c r="R11">
        <v>8</v>
      </c>
      <c r="S11">
        <v>42</v>
      </c>
      <c r="T11" t="s">
        <v>1754</v>
      </c>
      <c r="U11" t="s">
        <v>2009</v>
      </c>
      <c r="V11" t="s">
        <v>2024</v>
      </c>
      <c r="W11" t="s">
        <v>2015</v>
      </c>
      <c r="X11" t="s">
        <v>3039</v>
      </c>
    </row>
    <row r="12" spans="1:24" x14ac:dyDescent="0.3">
      <c r="A12" t="s">
        <v>1043</v>
      </c>
      <c r="B12" t="s">
        <v>301</v>
      </c>
      <c r="C12" t="s">
        <v>758</v>
      </c>
      <c r="D12">
        <v>35.594000000000001</v>
      </c>
      <c r="E12">
        <v>11030</v>
      </c>
      <c r="F12">
        <v>53.1</v>
      </c>
      <c r="G12" s="8" t="s">
        <v>2051</v>
      </c>
      <c r="H12" t="s">
        <v>1746</v>
      </c>
      <c r="I12">
        <v>11019</v>
      </c>
      <c r="J12">
        <v>5350041</v>
      </c>
      <c r="K12">
        <v>12</v>
      </c>
      <c r="L12">
        <v>34</v>
      </c>
      <c r="M12" t="s">
        <v>226</v>
      </c>
      <c r="N12" s="6" t="s">
        <v>2169</v>
      </c>
      <c r="R12">
        <v>12</v>
      </c>
      <c r="S12">
        <v>34</v>
      </c>
      <c r="T12" t="s">
        <v>1755</v>
      </c>
      <c r="U12" t="s">
        <v>2009</v>
      </c>
      <c r="V12" t="s">
        <v>2024</v>
      </c>
      <c r="W12" t="s">
        <v>2016</v>
      </c>
      <c r="X12" t="s">
        <v>2039</v>
      </c>
    </row>
    <row r="13" spans="1:24" x14ac:dyDescent="0.3">
      <c r="A13" t="s">
        <v>1402</v>
      </c>
      <c r="B13" s="3" t="s">
        <v>3716</v>
      </c>
      <c r="D13">
        <v>45.3</v>
      </c>
      <c r="E13">
        <v>15824</v>
      </c>
      <c r="F13">
        <v>43</v>
      </c>
      <c r="G13" s="8" t="s">
        <v>2052</v>
      </c>
      <c r="H13" t="s">
        <v>1746</v>
      </c>
      <c r="I13">
        <v>13200</v>
      </c>
      <c r="J13">
        <v>6569959</v>
      </c>
      <c r="M13" t="s">
        <v>1691</v>
      </c>
      <c r="N13" s="6" t="s">
        <v>2168</v>
      </c>
      <c r="O13">
        <v>0</v>
      </c>
      <c r="P13">
        <v>25</v>
      </c>
      <c r="Q13">
        <v>5</v>
      </c>
      <c r="R13">
        <v>0</v>
      </c>
      <c r="S13">
        <v>25</v>
      </c>
      <c r="T13" t="s">
        <v>1756</v>
      </c>
      <c r="U13" t="s">
        <v>2010</v>
      </c>
      <c r="V13" t="s">
        <v>2025</v>
      </c>
      <c r="W13" t="s">
        <v>2017</v>
      </c>
    </row>
    <row r="14" spans="1:24" x14ac:dyDescent="0.3">
      <c r="A14" t="s">
        <v>833</v>
      </c>
      <c r="B14" t="s">
        <v>536</v>
      </c>
      <c r="D14">
        <v>26.482800000000001</v>
      </c>
      <c r="E14">
        <v>8889</v>
      </c>
      <c r="F14">
        <v>61.8</v>
      </c>
      <c r="G14" s="11"/>
      <c r="H14" t="s">
        <v>340</v>
      </c>
      <c r="I14">
        <v>8889</v>
      </c>
      <c r="J14">
        <v>5050772</v>
      </c>
      <c r="K14">
        <v>21</v>
      </c>
      <c r="L14">
        <v>41</v>
      </c>
      <c r="M14" t="s">
        <v>227</v>
      </c>
      <c r="N14" s="6" t="s">
        <v>2170</v>
      </c>
      <c r="R14">
        <v>21</v>
      </c>
      <c r="S14">
        <v>41</v>
      </c>
      <c r="T14" t="s">
        <v>1757</v>
      </c>
      <c r="U14" t="s">
        <v>2009</v>
      </c>
      <c r="V14" t="s">
        <v>2023</v>
      </c>
      <c r="W14" t="s">
        <v>2018</v>
      </c>
      <c r="X14" t="s">
        <v>3040</v>
      </c>
    </row>
    <row r="15" spans="1:24" x14ac:dyDescent="0.3">
      <c r="A15" t="s">
        <v>834</v>
      </c>
      <c r="B15" t="s">
        <v>73</v>
      </c>
      <c r="D15">
        <v>57.060600000000001</v>
      </c>
      <c r="E15">
        <v>19447</v>
      </c>
      <c r="F15">
        <v>60.5</v>
      </c>
      <c r="G15" s="11"/>
      <c r="H15" t="s">
        <v>1746</v>
      </c>
      <c r="I15">
        <v>18611</v>
      </c>
      <c r="J15">
        <v>8972772</v>
      </c>
      <c r="K15">
        <v>20</v>
      </c>
      <c r="L15">
        <v>40</v>
      </c>
      <c r="M15" t="s">
        <v>226</v>
      </c>
      <c r="N15" s="6" t="s">
        <v>2170</v>
      </c>
      <c r="R15">
        <v>20</v>
      </c>
      <c r="S15">
        <v>40</v>
      </c>
      <c r="T15" t="s">
        <v>1757</v>
      </c>
      <c r="U15" t="s">
        <v>2009</v>
      </c>
      <c r="V15" t="s">
        <v>2023</v>
      </c>
      <c r="W15" t="s">
        <v>2018</v>
      </c>
      <c r="X15" t="s">
        <v>3040</v>
      </c>
    </row>
    <row r="16" spans="1:24" x14ac:dyDescent="0.3">
      <c r="A16" t="s">
        <v>835</v>
      </c>
      <c r="B16" t="s">
        <v>203</v>
      </c>
      <c r="D16" s="12">
        <f>AVERAGE(33.569,33.405,33.441,32.99)</f>
        <v>33.35125</v>
      </c>
      <c r="E16">
        <f>AVERAGE(12323,12290,13086,13469)</f>
        <v>12792</v>
      </c>
      <c r="F16">
        <v>51.1</v>
      </c>
      <c r="G16" s="11"/>
      <c r="H16" t="s">
        <v>1746</v>
      </c>
      <c r="I16">
        <v>13463</v>
      </c>
      <c r="J16">
        <v>6148114</v>
      </c>
      <c r="K16">
        <v>4</v>
      </c>
      <c r="L16">
        <v>35</v>
      </c>
      <c r="M16" t="s">
        <v>264</v>
      </c>
      <c r="N16" s="6" t="s">
        <v>2171</v>
      </c>
      <c r="O16">
        <v>-2</v>
      </c>
      <c r="P16">
        <v>40</v>
      </c>
      <c r="Q16">
        <v>6</v>
      </c>
      <c r="R16">
        <v>-2</v>
      </c>
      <c r="S16">
        <v>40</v>
      </c>
      <c r="T16" t="s">
        <v>1758</v>
      </c>
      <c r="U16" t="s">
        <v>2009</v>
      </c>
      <c r="V16" t="s">
        <v>2024</v>
      </c>
      <c r="W16" t="s">
        <v>2016</v>
      </c>
      <c r="X16" t="s">
        <v>2039</v>
      </c>
    </row>
    <row r="17" spans="1:24" x14ac:dyDescent="0.3">
      <c r="A17" t="s">
        <v>836</v>
      </c>
      <c r="B17" t="s">
        <v>108</v>
      </c>
      <c r="D17">
        <v>33.788899999999998</v>
      </c>
      <c r="E17">
        <v>12852</v>
      </c>
      <c r="F17">
        <v>51.1</v>
      </c>
      <c r="G17" s="11"/>
      <c r="H17" t="s">
        <v>340</v>
      </c>
      <c r="I17">
        <v>12924</v>
      </c>
      <c r="J17">
        <v>6009773</v>
      </c>
      <c r="K17">
        <v>5</v>
      </c>
      <c r="L17">
        <v>34</v>
      </c>
      <c r="M17" t="s">
        <v>226</v>
      </c>
      <c r="N17" s="6" t="s">
        <v>2172</v>
      </c>
      <c r="R17">
        <v>5</v>
      </c>
      <c r="S17">
        <v>34</v>
      </c>
      <c r="T17" t="s">
        <v>591</v>
      </c>
      <c r="U17" t="s">
        <v>2009</v>
      </c>
      <c r="V17" t="s">
        <v>2024</v>
      </c>
      <c r="W17" t="s">
        <v>2016</v>
      </c>
      <c r="X17" t="s">
        <v>2039</v>
      </c>
    </row>
    <row r="18" spans="1:24" x14ac:dyDescent="0.3">
      <c r="A18" t="s">
        <v>1404</v>
      </c>
      <c r="B18" s="3" t="s">
        <v>3717</v>
      </c>
      <c r="D18">
        <v>33.799999999999997</v>
      </c>
      <c r="E18">
        <v>11593</v>
      </c>
      <c r="F18">
        <v>51</v>
      </c>
      <c r="G18" s="8" t="s">
        <v>2053</v>
      </c>
      <c r="H18" t="s">
        <v>383</v>
      </c>
      <c r="I18" t="s">
        <v>383</v>
      </c>
      <c r="J18" t="s">
        <v>383</v>
      </c>
      <c r="M18" t="s">
        <v>1691</v>
      </c>
      <c r="N18" s="6" t="s">
        <v>2168</v>
      </c>
      <c r="O18">
        <v>0</v>
      </c>
      <c r="P18">
        <v>43</v>
      </c>
      <c r="Q18">
        <v>25</v>
      </c>
      <c r="R18">
        <v>0</v>
      </c>
      <c r="S18">
        <v>43</v>
      </c>
      <c r="T18" t="s">
        <v>1759</v>
      </c>
      <c r="U18" t="s">
        <v>2009</v>
      </c>
      <c r="V18" t="s">
        <v>2024</v>
      </c>
      <c r="W18" t="s">
        <v>2016</v>
      </c>
      <c r="X18" t="s">
        <v>2039</v>
      </c>
    </row>
    <row r="19" spans="1:24" x14ac:dyDescent="0.3">
      <c r="A19" t="s">
        <v>837</v>
      </c>
      <c r="B19" t="s">
        <v>57</v>
      </c>
      <c r="D19">
        <v>31.753</v>
      </c>
      <c r="E19">
        <v>10514</v>
      </c>
      <c r="F19">
        <v>50.85</v>
      </c>
      <c r="G19" s="8" t="s">
        <v>2054</v>
      </c>
      <c r="H19" t="s">
        <v>3707</v>
      </c>
      <c r="I19">
        <v>10514</v>
      </c>
      <c r="J19">
        <v>4729999</v>
      </c>
      <c r="K19">
        <v>0</v>
      </c>
      <c r="L19">
        <v>36</v>
      </c>
      <c r="M19" t="s">
        <v>226</v>
      </c>
      <c r="N19" s="6" t="s">
        <v>2173</v>
      </c>
      <c r="O19">
        <v>-2</v>
      </c>
      <c r="P19">
        <v>40</v>
      </c>
      <c r="Q19">
        <v>3</v>
      </c>
      <c r="R19">
        <v>-2</v>
      </c>
      <c r="S19">
        <v>40</v>
      </c>
      <c r="T19" t="s">
        <v>1760</v>
      </c>
      <c r="U19" t="s">
        <v>2009</v>
      </c>
      <c r="V19" t="s">
        <v>2024</v>
      </c>
      <c r="W19" t="s">
        <v>2016</v>
      </c>
      <c r="X19" t="s">
        <v>2039</v>
      </c>
    </row>
    <row r="20" spans="1:24" x14ac:dyDescent="0.3">
      <c r="A20" t="s">
        <v>1406</v>
      </c>
      <c r="B20" s="3" t="s">
        <v>3718</v>
      </c>
      <c r="D20">
        <v>33.988</v>
      </c>
      <c r="E20">
        <v>13902</v>
      </c>
      <c r="F20">
        <v>51</v>
      </c>
      <c r="G20" s="11"/>
      <c r="H20" t="s">
        <v>340</v>
      </c>
      <c r="I20">
        <v>13201</v>
      </c>
      <c r="J20">
        <v>6138823</v>
      </c>
      <c r="M20" t="s">
        <v>1691</v>
      </c>
      <c r="N20" s="6" t="s">
        <v>2168</v>
      </c>
      <c r="O20">
        <v>10</v>
      </c>
      <c r="P20">
        <v>40</v>
      </c>
      <c r="Q20">
        <v>20</v>
      </c>
      <c r="R20">
        <v>10</v>
      </c>
      <c r="S20">
        <v>40</v>
      </c>
      <c r="T20" t="s">
        <v>591</v>
      </c>
      <c r="U20" t="s">
        <v>2009</v>
      </c>
      <c r="V20" t="s">
        <v>2024</v>
      </c>
      <c r="W20" t="s">
        <v>2016</v>
      </c>
      <c r="X20" t="s">
        <v>2039</v>
      </c>
    </row>
    <row r="21" spans="1:24" x14ac:dyDescent="0.3">
      <c r="A21" t="s">
        <v>1408</v>
      </c>
      <c r="B21" s="3" t="s">
        <v>3719</v>
      </c>
      <c r="D21">
        <v>37.5</v>
      </c>
      <c r="E21">
        <v>13219</v>
      </c>
      <c r="F21">
        <v>51</v>
      </c>
      <c r="G21" s="8" t="s">
        <v>2055</v>
      </c>
      <c r="H21" t="s">
        <v>3707</v>
      </c>
      <c r="I21">
        <v>13219</v>
      </c>
      <c r="J21">
        <v>6163505</v>
      </c>
      <c r="M21" t="s">
        <v>1691</v>
      </c>
      <c r="N21" s="6" t="s">
        <v>2168</v>
      </c>
      <c r="O21">
        <v>12</v>
      </c>
      <c r="P21">
        <v>34.5</v>
      </c>
      <c r="Q21">
        <v>12</v>
      </c>
      <c r="R21">
        <v>12</v>
      </c>
      <c r="S21">
        <v>34.5</v>
      </c>
      <c r="T21" t="s">
        <v>591</v>
      </c>
      <c r="U21" t="s">
        <v>2009</v>
      </c>
      <c r="V21" t="s">
        <v>2024</v>
      </c>
      <c r="W21" t="s">
        <v>2016</v>
      </c>
      <c r="X21" t="s">
        <v>2039</v>
      </c>
    </row>
    <row r="22" spans="1:24" x14ac:dyDescent="0.3">
      <c r="A22" t="s">
        <v>1410</v>
      </c>
      <c r="B22" s="3" t="s">
        <v>3720</v>
      </c>
      <c r="D22">
        <v>29.242999999999999</v>
      </c>
      <c r="E22">
        <v>12232</v>
      </c>
      <c r="F22">
        <v>51</v>
      </c>
      <c r="G22" s="11"/>
      <c r="H22" t="s">
        <v>383</v>
      </c>
      <c r="I22" t="s">
        <v>383</v>
      </c>
      <c r="J22" t="s">
        <v>383</v>
      </c>
      <c r="M22" t="s">
        <v>1691</v>
      </c>
      <c r="N22" s="6" t="s">
        <v>2168</v>
      </c>
      <c r="O22">
        <v>6</v>
      </c>
      <c r="P22">
        <v>36</v>
      </c>
      <c r="Q22">
        <v>9</v>
      </c>
      <c r="R22">
        <v>6</v>
      </c>
      <c r="S22">
        <v>36</v>
      </c>
      <c r="T22" t="s">
        <v>1761</v>
      </c>
      <c r="U22" t="s">
        <v>2009</v>
      </c>
      <c r="V22" t="s">
        <v>2024</v>
      </c>
      <c r="W22" t="s">
        <v>2016</v>
      </c>
      <c r="X22" t="s">
        <v>2039</v>
      </c>
    </row>
    <row r="23" spans="1:24" x14ac:dyDescent="0.3">
      <c r="A23" t="s">
        <v>1412</v>
      </c>
      <c r="B23" s="3" t="s">
        <v>3721</v>
      </c>
      <c r="D23">
        <v>34.6</v>
      </c>
      <c r="E23">
        <v>6927</v>
      </c>
      <c r="F23">
        <v>49.33</v>
      </c>
      <c r="G23" s="8" t="s">
        <v>2056</v>
      </c>
      <c r="H23" t="s">
        <v>383</v>
      </c>
      <c r="I23" t="s">
        <v>383</v>
      </c>
      <c r="J23" t="s">
        <v>383</v>
      </c>
      <c r="M23" t="s">
        <v>1691</v>
      </c>
      <c r="N23" s="6" t="s">
        <v>2168</v>
      </c>
      <c r="O23">
        <v>-0.6</v>
      </c>
      <c r="P23">
        <v>36.299999999999997</v>
      </c>
      <c r="Q23">
        <v>11</v>
      </c>
      <c r="R23">
        <v>-0.6</v>
      </c>
      <c r="S23">
        <v>36.299999999999997</v>
      </c>
      <c r="T23" t="s">
        <v>1762</v>
      </c>
      <c r="U23" t="s">
        <v>2009</v>
      </c>
      <c r="V23" t="s">
        <v>2024</v>
      </c>
      <c r="W23" t="s">
        <v>2016</v>
      </c>
      <c r="X23" t="s">
        <v>2039</v>
      </c>
    </row>
    <row r="24" spans="1:24" x14ac:dyDescent="0.3">
      <c r="A24" t="s">
        <v>838</v>
      </c>
      <c r="B24" t="s">
        <v>269</v>
      </c>
      <c r="D24">
        <v>31.129000000000001</v>
      </c>
      <c r="E24">
        <v>12258</v>
      </c>
      <c r="F24">
        <v>51.2</v>
      </c>
      <c r="G24" s="8" t="s">
        <v>2057</v>
      </c>
      <c r="H24" t="s">
        <v>3707</v>
      </c>
      <c r="I24">
        <v>12258</v>
      </c>
      <c r="J24">
        <v>5474293</v>
      </c>
      <c r="K24">
        <v>2</v>
      </c>
      <c r="L24">
        <v>42</v>
      </c>
      <c r="M24" t="s">
        <v>227</v>
      </c>
      <c r="N24" s="6" t="s">
        <v>2174</v>
      </c>
      <c r="O24">
        <v>0</v>
      </c>
      <c r="P24">
        <v>41</v>
      </c>
      <c r="Q24">
        <v>24</v>
      </c>
      <c r="R24">
        <v>0</v>
      </c>
      <c r="S24">
        <v>42</v>
      </c>
      <c r="T24" t="s">
        <v>1761</v>
      </c>
      <c r="U24" t="s">
        <v>2009</v>
      </c>
      <c r="V24" t="s">
        <v>2024</v>
      </c>
      <c r="W24" t="s">
        <v>2016</v>
      </c>
      <c r="X24" t="s">
        <v>2039</v>
      </c>
    </row>
    <row r="25" spans="1:24" x14ac:dyDescent="0.3">
      <c r="A25" t="s">
        <v>1414</v>
      </c>
      <c r="B25" s="3" t="s">
        <v>3722</v>
      </c>
      <c r="C25" t="s">
        <v>1701</v>
      </c>
      <c r="D25">
        <v>32.326000000000001</v>
      </c>
      <c r="E25">
        <v>12601</v>
      </c>
      <c r="F25">
        <v>52.29</v>
      </c>
      <c r="G25" s="11"/>
      <c r="H25" t="s">
        <v>383</v>
      </c>
      <c r="I25" t="s">
        <v>383</v>
      </c>
      <c r="J25" t="s">
        <v>383</v>
      </c>
      <c r="M25" t="s">
        <v>1691</v>
      </c>
      <c r="N25" s="6" t="s">
        <v>2168</v>
      </c>
      <c r="O25">
        <v>1.7</v>
      </c>
      <c r="P25">
        <v>34.15</v>
      </c>
      <c r="Q25">
        <v>5</v>
      </c>
      <c r="R25">
        <v>1.7</v>
      </c>
      <c r="S25">
        <v>34.15</v>
      </c>
      <c r="T25" t="s">
        <v>1759</v>
      </c>
      <c r="U25" t="s">
        <v>2009</v>
      </c>
      <c r="V25" t="s">
        <v>2024</v>
      </c>
      <c r="W25" t="s">
        <v>2016</v>
      </c>
      <c r="X25" t="s">
        <v>2039</v>
      </c>
    </row>
    <row r="26" spans="1:24" x14ac:dyDescent="0.3">
      <c r="A26" t="s">
        <v>839</v>
      </c>
      <c r="B26" t="s">
        <v>401</v>
      </c>
      <c r="D26">
        <f>AVERAGE(110.261,40.699)</f>
        <v>75.47999999999999</v>
      </c>
      <c r="E26">
        <f>AVERAGE(15793,18153)</f>
        <v>16973</v>
      </c>
      <c r="F26">
        <v>47.7</v>
      </c>
      <c r="G26" s="11"/>
      <c r="H26" t="s">
        <v>1746</v>
      </c>
      <c r="I26">
        <v>17947</v>
      </c>
      <c r="J26">
        <v>5886369</v>
      </c>
      <c r="K26">
        <v>8</v>
      </c>
      <c r="L26">
        <v>30</v>
      </c>
      <c r="M26" t="s">
        <v>228</v>
      </c>
      <c r="N26" s="6" t="s">
        <v>2175</v>
      </c>
      <c r="R26">
        <v>8</v>
      </c>
      <c r="S26">
        <v>30</v>
      </c>
      <c r="T26" t="s">
        <v>1763</v>
      </c>
      <c r="U26" t="s">
        <v>2009</v>
      </c>
      <c r="V26" t="s">
        <v>2024</v>
      </c>
      <c r="W26" t="s">
        <v>2015</v>
      </c>
      <c r="X26" t="s">
        <v>3039</v>
      </c>
    </row>
    <row r="27" spans="1:24" x14ac:dyDescent="0.3">
      <c r="A27" t="s">
        <v>840</v>
      </c>
      <c r="B27" t="s">
        <v>314</v>
      </c>
      <c r="D27">
        <v>51.7</v>
      </c>
      <c r="E27">
        <v>16864</v>
      </c>
      <c r="F27">
        <v>45.91</v>
      </c>
      <c r="G27" s="8" t="s">
        <v>2058</v>
      </c>
      <c r="H27" t="s">
        <v>383</v>
      </c>
      <c r="I27" t="s">
        <v>383</v>
      </c>
      <c r="J27" t="s">
        <v>383</v>
      </c>
      <c r="K27">
        <v>17</v>
      </c>
      <c r="L27">
        <v>32</v>
      </c>
      <c r="M27" t="s">
        <v>228</v>
      </c>
      <c r="N27" s="6" t="s">
        <v>2175</v>
      </c>
      <c r="R27">
        <v>17</v>
      </c>
      <c r="S27">
        <v>32</v>
      </c>
      <c r="T27" t="s">
        <v>1763</v>
      </c>
      <c r="U27" t="s">
        <v>2009</v>
      </c>
      <c r="V27" t="s">
        <v>2024</v>
      </c>
      <c r="W27" t="s">
        <v>2015</v>
      </c>
      <c r="X27" t="s">
        <v>3039</v>
      </c>
    </row>
    <row r="28" spans="1:24" x14ac:dyDescent="0.3">
      <c r="A28" t="s">
        <v>841</v>
      </c>
      <c r="B28" t="s">
        <v>420</v>
      </c>
      <c r="D28">
        <v>76.593000000000004</v>
      </c>
      <c r="E28">
        <v>16076</v>
      </c>
      <c r="F28">
        <v>47.3</v>
      </c>
      <c r="G28" s="11"/>
      <c r="H28" t="s">
        <v>340</v>
      </c>
      <c r="I28">
        <v>16076</v>
      </c>
      <c r="J28">
        <v>6703221</v>
      </c>
      <c r="K28">
        <v>14</v>
      </c>
      <c r="L28">
        <v>35</v>
      </c>
      <c r="M28" t="s">
        <v>226</v>
      </c>
      <c r="N28" s="6" t="s">
        <v>2176</v>
      </c>
      <c r="R28">
        <v>14</v>
      </c>
      <c r="S28">
        <v>35</v>
      </c>
      <c r="T28" t="s">
        <v>1763</v>
      </c>
      <c r="U28" t="s">
        <v>2009</v>
      </c>
      <c r="V28" t="s">
        <v>2024</v>
      </c>
      <c r="W28" t="s">
        <v>2015</v>
      </c>
      <c r="X28" t="s">
        <v>3039</v>
      </c>
    </row>
    <row r="29" spans="1:24" ht="13.5" customHeight="1" x14ac:dyDescent="0.3">
      <c r="A29" t="s">
        <v>842</v>
      </c>
      <c r="B29" t="s">
        <v>190</v>
      </c>
      <c r="D29">
        <v>30.11</v>
      </c>
      <c r="E29">
        <v>9642</v>
      </c>
      <c r="F29">
        <v>47.37</v>
      </c>
      <c r="G29" s="8" t="s">
        <v>2059</v>
      </c>
      <c r="H29" t="s">
        <v>1746</v>
      </c>
      <c r="I29">
        <v>9640</v>
      </c>
      <c r="J29">
        <v>4384405</v>
      </c>
      <c r="K29">
        <v>13</v>
      </c>
      <c r="L29">
        <v>41</v>
      </c>
      <c r="M29" t="s">
        <v>226</v>
      </c>
      <c r="N29" s="6" t="s">
        <v>2177</v>
      </c>
      <c r="R29">
        <v>13</v>
      </c>
      <c r="S29">
        <v>41</v>
      </c>
      <c r="T29" t="s">
        <v>1764</v>
      </c>
      <c r="U29" t="s">
        <v>2009</v>
      </c>
      <c r="V29" t="s">
        <v>2024</v>
      </c>
      <c r="W29" t="s">
        <v>2016</v>
      </c>
      <c r="X29" t="s">
        <v>2039</v>
      </c>
    </row>
    <row r="30" spans="1:24" x14ac:dyDescent="0.3">
      <c r="A30" t="s">
        <v>1312</v>
      </c>
      <c r="B30" t="s">
        <v>682</v>
      </c>
      <c r="D30">
        <v>46.286999999999999</v>
      </c>
      <c r="E30">
        <v>11869</v>
      </c>
      <c r="F30">
        <v>44.87</v>
      </c>
      <c r="G30" s="11"/>
      <c r="H30" t="s">
        <v>1746</v>
      </c>
      <c r="I30">
        <v>11868</v>
      </c>
      <c r="J30">
        <v>5374981</v>
      </c>
      <c r="K30">
        <v>5</v>
      </c>
      <c r="L30">
        <v>28</v>
      </c>
      <c r="M30" t="s">
        <v>227</v>
      </c>
      <c r="N30" s="6" t="s">
        <v>2178</v>
      </c>
      <c r="R30">
        <v>5</v>
      </c>
      <c r="S30">
        <v>28</v>
      </c>
      <c r="T30" t="s">
        <v>592</v>
      </c>
      <c r="U30" t="s">
        <v>2009</v>
      </c>
      <c r="V30" t="s">
        <v>2024</v>
      </c>
      <c r="W30" t="s">
        <v>2016</v>
      </c>
      <c r="X30" t="s">
        <v>2039</v>
      </c>
    </row>
    <row r="31" spans="1:24" ht="19.2" customHeight="1" x14ac:dyDescent="0.3">
      <c r="A31" t="s">
        <v>1416</v>
      </c>
      <c r="B31" t="s">
        <v>3723</v>
      </c>
      <c r="D31">
        <v>36.9</v>
      </c>
      <c r="F31">
        <v>47</v>
      </c>
      <c r="G31" s="11"/>
      <c r="H31" t="s">
        <v>383</v>
      </c>
      <c r="I31" t="s">
        <v>383</v>
      </c>
      <c r="J31" t="s">
        <v>383</v>
      </c>
      <c r="M31" t="s">
        <v>1691</v>
      </c>
      <c r="N31" s="6" t="s">
        <v>2168</v>
      </c>
      <c r="O31">
        <v>10</v>
      </c>
      <c r="P31">
        <v>35</v>
      </c>
      <c r="Q31">
        <v>3</v>
      </c>
      <c r="R31">
        <v>10</v>
      </c>
      <c r="S31">
        <v>35</v>
      </c>
      <c r="T31" t="s">
        <v>1765</v>
      </c>
      <c r="U31" t="s">
        <v>2009</v>
      </c>
      <c r="V31" t="s">
        <v>2024</v>
      </c>
      <c r="W31" t="s">
        <v>2016</v>
      </c>
      <c r="X31" t="s">
        <v>2039</v>
      </c>
    </row>
    <row r="32" spans="1:24" x14ac:dyDescent="0.3">
      <c r="A32" t="s">
        <v>1418</v>
      </c>
      <c r="B32" t="s">
        <v>3724</v>
      </c>
      <c r="D32">
        <v>73.3</v>
      </c>
      <c r="E32">
        <v>23027</v>
      </c>
      <c r="F32">
        <v>47</v>
      </c>
      <c r="G32" s="11"/>
      <c r="H32" t="s">
        <v>1746</v>
      </c>
      <c r="I32">
        <v>19021</v>
      </c>
      <c r="J32">
        <v>8696679</v>
      </c>
      <c r="M32" t="s">
        <v>1691</v>
      </c>
      <c r="N32" s="6" t="s">
        <v>2168</v>
      </c>
      <c r="O32">
        <v>6.5</v>
      </c>
      <c r="P32">
        <v>37</v>
      </c>
      <c r="Q32">
        <v>32</v>
      </c>
      <c r="R32">
        <v>6.5</v>
      </c>
      <c r="S32">
        <v>37</v>
      </c>
      <c r="T32" t="s">
        <v>1766</v>
      </c>
      <c r="U32" t="s">
        <v>2010</v>
      </c>
      <c r="V32" t="s">
        <v>2025</v>
      </c>
      <c r="W32" t="s">
        <v>2019</v>
      </c>
    </row>
    <row r="33" spans="1:24" x14ac:dyDescent="0.3">
      <c r="A33" t="s">
        <v>1261</v>
      </c>
      <c r="B33" t="s">
        <v>762</v>
      </c>
      <c r="D33">
        <v>38.5</v>
      </c>
      <c r="E33">
        <v>9584</v>
      </c>
      <c r="F33">
        <v>41.5</v>
      </c>
      <c r="G33" s="8" t="s">
        <v>2060</v>
      </c>
      <c r="H33" t="s">
        <v>383</v>
      </c>
      <c r="I33" t="s">
        <v>383</v>
      </c>
      <c r="J33" t="s">
        <v>383</v>
      </c>
      <c r="K33">
        <v>15</v>
      </c>
      <c r="L33">
        <v>48</v>
      </c>
      <c r="M33" t="s">
        <v>227</v>
      </c>
      <c r="N33" s="6" t="s">
        <v>2179</v>
      </c>
      <c r="R33">
        <v>15</v>
      </c>
      <c r="S33">
        <v>48</v>
      </c>
      <c r="T33" t="s">
        <v>593</v>
      </c>
      <c r="U33" t="s">
        <v>2009</v>
      </c>
      <c r="V33" t="s">
        <v>2023</v>
      </c>
      <c r="W33" t="s">
        <v>2014</v>
      </c>
      <c r="X33" t="s">
        <v>3037</v>
      </c>
    </row>
    <row r="34" spans="1:24" ht="16.95" customHeight="1" x14ac:dyDescent="0.3">
      <c r="A34" t="s">
        <v>1313</v>
      </c>
      <c r="B34" t="s">
        <v>683</v>
      </c>
      <c r="D34">
        <v>34.1</v>
      </c>
      <c r="E34">
        <v>9528</v>
      </c>
      <c r="F34">
        <v>42</v>
      </c>
      <c r="G34" s="11"/>
      <c r="H34" t="s">
        <v>1746</v>
      </c>
      <c r="I34">
        <v>9501</v>
      </c>
      <c r="J34">
        <v>4420911</v>
      </c>
      <c r="K34">
        <v>15</v>
      </c>
      <c r="L34">
        <v>48</v>
      </c>
      <c r="M34" t="s">
        <v>227</v>
      </c>
      <c r="N34" s="6" t="s">
        <v>2179</v>
      </c>
      <c r="R34">
        <v>15</v>
      </c>
      <c r="S34">
        <v>48</v>
      </c>
      <c r="T34" t="s">
        <v>593</v>
      </c>
      <c r="U34" t="s">
        <v>2009</v>
      </c>
      <c r="V34" t="s">
        <v>2023</v>
      </c>
      <c r="W34" t="s">
        <v>2014</v>
      </c>
      <c r="X34" t="s">
        <v>3037</v>
      </c>
    </row>
    <row r="35" spans="1:24" x14ac:dyDescent="0.3">
      <c r="A35" t="s">
        <v>1260</v>
      </c>
      <c r="B35" t="s">
        <v>761</v>
      </c>
      <c r="D35">
        <v>35.799999999999997</v>
      </c>
      <c r="E35">
        <v>9542</v>
      </c>
      <c r="F35">
        <v>42</v>
      </c>
      <c r="G35" s="8" t="s">
        <v>2060</v>
      </c>
      <c r="H35" t="s">
        <v>383</v>
      </c>
      <c r="I35" t="s">
        <v>383</v>
      </c>
      <c r="J35" t="s">
        <v>383</v>
      </c>
      <c r="K35">
        <v>15</v>
      </c>
      <c r="L35">
        <v>48</v>
      </c>
      <c r="M35" t="s">
        <v>227</v>
      </c>
      <c r="N35" s="6" t="s">
        <v>2179</v>
      </c>
      <c r="R35">
        <v>15</v>
      </c>
      <c r="S35">
        <v>48</v>
      </c>
      <c r="T35" t="s">
        <v>593</v>
      </c>
      <c r="U35" t="s">
        <v>2009</v>
      </c>
      <c r="V35" t="s">
        <v>2023</v>
      </c>
      <c r="W35" t="s">
        <v>2014</v>
      </c>
      <c r="X35" t="s">
        <v>3037</v>
      </c>
    </row>
    <row r="36" spans="1:24" x14ac:dyDescent="0.3">
      <c r="A36" t="s">
        <v>1259</v>
      </c>
      <c r="B36" t="s">
        <v>760</v>
      </c>
      <c r="D36">
        <v>39.299999999999997</v>
      </c>
      <c r="E36">
        <v>12764</v>
      </c>
      <c r="F36">
        <v>41.5</v>
      </c>
      <c r="G36" s="8" t="s">
        <v>2061</v>
      </c>
      <c r="H36" t="s">
        <v>383</v>
      </c>
      <c r="I36" t="s">
        <v>383</v>
      </c>
      <c r="J36" t="s">
        <v>383</v>
      </c>
      <c r="K36">
        <v>15</v>
      </c>
      <c r="L36">
        <v>48</v>
      </c>
      <c r="M36" t="s">
        <v>227</v>
      </c>
      <c r="N36" s="6" t="s">
        <v>2179</v>
      </c>
      <c r="R36">
        <v>15</v>
      </c>
      <c r="S36">
        <v>48</v>
      </c>
      <c r="T36" t="s">
        <v>593</v>
      </c>
      <c r="U36" t="s">
        <v>2009</v>
      </c>
      <c r="V36" t="s">
        <v>2023</v>
      </c>
      <c r="W36" t="s">
        <v>2014</v>
      </c>
      <c r="X36" t="s">
        <v>3037</v>
      </c>
    </row>
    <row r="37" spans="1:24" x14ac:dyDescent="0.3">
      <c r="A37" t="s">
        <v>843</v>
      </c>
      <c r="B37" t="s">
        <v>271</v>
      </c>
      <c r="D37">
        <v>70.852800000000002</v>
      </c>
      <c r="E37">
        <v>14473</v>
      </c>
      <c r="F37">
        <v>49.1</v>
      </c>
      <c r="G37" s="8" t="s">
        <v>2062</v>
      </c>
      <c r="H37" t="s">
        <v>340</v>
      </c>
      <c r="I37">
        <v>15646</v>
      </c>
      <c r="J37">
        <v>6289921</v>
      </c>
      <c r="K37">
        <v>7</v>
      </c>
      <c r="L37">
        <v>28</v>
      </c>
      <c r="M37" t="s">
        <v>227</v>
      </c>
      <c r="N37" s="6" t="s">
        <v>2180</v>
      </c>
      <c r="O37">
        <v>15</v>
      </c>
      <c r="P37">
        <v>30</v>
      </c>
      <c r="Q37">
        <v>5</v>
      </c>
      <c r="R37">
        <v>7</v>
      </c>
      <c r="S37">
        <v>30</v>
      </c>
      <c r="T37" t="s">
        <v>399</v>
      </c>
      <c r="U37" t="s">
        <v>2009</v>
      </c>
      <c r="V37" t="s">
        <v>2024</v>
      </c>
      <c r="W37" t="s">
        <v>2015</v>
      </c>
      <c r="X37" t="s">
        <v>3039</v>
      </c>
    </row>
    <row r="38" spans="1:24" x14ac:dyDescent="0.3">
      <c r="A38" t="s">
        <v>1314</v>
      </c>
      <c r="B38" t="s">
        <v>371</v>
      </c>
      <c r="D38">
        <v>56.7</v>
      </c>
      <c r="E38">
        <v>22299</v>
      </c>
      <c r="F38">
        <v>48.5</v>
      </c>
      <c r="G38" s="11"/>
      <c r="H38" t="s">
        <v>1746</v>
      </c>
      <c r="I38">
        <v>22192</v>
      </c>
      <c r="J38">
        <v>9048897</v>
      </c>
      <c r="K38">
        <v>3</v>
      </c>
      <c r="L38">
        <v>32</v>
      </c>
      <c r="M38" t="s">
        <v>227</v>
      </c>
      <c r="N38" s="6" t="s">
        <v>2181</v>
      </c>
      <c r="R38">
        <v>3</v>
      </c>
      <c r="S38">
        <v>32</v>
      </c>
      <c r="T38" t="s">
        <v>399</v>
      </c>
      <c r="U38" t="s">
        <v>2009</v>
      </c>
      <c r="V38" t="s">
        <v>2024</v>
      </c>
      <c r="W38" t="s">
        <v>2015</v>
      </c>
      <c r="X38" t="s">
        <v>3039</v>
      </c>
    </row>
    <row r="39" spans="1:24" x14ac:dyDescent="0.3">
      <c r="A39" t="s">
        <v>1315</v>
      </c>
      <c r="B39" t="s">
        <v>684</v>
      </c>
      <c r="D39">
        <v>40.072000000000003</v>
      </c>
      <c r="E39">
        <v>11479</v>
      </c>
      <c r="F39">
        <v>44.5</v>
      </c>
      <c r="G39" s="11"/>
      <c r="H39" t="s">
        <v>1746</v>
      </c>
      <c r="I39">
        <v>11478</v>
      </c>
      <c r="J39">
        <v>5722854</v>
      </c>
      <c r="K39">
        <v>7</v>
      </c>
      <c r="L39">
        <v>40</v>
      </c>
      <c r="M39" t="s">
        <v>226</v>
      </c>
      <c r="N39" s="6" t="s">
        <v>2182</v>
      </c>
      <c r="R39">
        <v>7</v>
      </c>
      <c r="S39">
        <v>40</v>
      </c>
      <c r="T39" t="s">
        <v>1767</v>
      </c>
      <c r="U39" t="s">
        <v>2009</v>
      </c>
      <c r="V39" t="s">
        <v>2024</v>
      </c>
      <c r="W39" t="s">
        <v>2016</v>
      </c>
      <c r="X39" t="s">
        <v>2039</v>
      </c>
    </row>
    <row r="40" spans="1:24" x14ac:dyDescent="0.3">
      <c r="A40" t="s">
        <v>1282</v>
      </c>
      <c r="B40" t="s">
        <v>789</v>
      </c>
      <c r="D40">
        <v>37.987000000000002</v>
      </c>
      <c r="E40">
        <v>15130</v>
      </c>
      <c r="F40">
        <v>54.5</v>
      </c>
      <c r="G40" s="11"/>
      <c r="H40" t="s">
        <v>340</v>
      </c>
      <c r="I40">
        <v>15125</v>
      </c>
      <c r="J40">
        <v>6052520</v>
      </c>
      <c r="K40">
        <v>10</v>
      </c>
      <c r="L40">
        <v>30</v>
      </c>
      <c r="M40" t="s">
        <v>227</v>
      </c>
      <c r="N40" s="6" t="s">
        <v>2183</v>
      </c>
      <c r="R40">
        <v>10</v>
      </c>
      <c r="S40">
        <v>30</v>
      </c>
      <c r="T40" t="s">
        <v>1768</v>
      </c>
      <c r="U40" t="s">
        <v>2009</v>
      </c>
      <c r="V40" t="s">
        <v>2024</v>
      </c>
      <c r="W40" t="s">
        <v>2015</v>
      </c>
      <c r="X40" t="s">
        <v>3039</v>
      </c>
    </row>
    <row r="41" spans="1:24" x14ac:dyDescent="0.3">
      <c r="A41" t="s">
        <v>300</v>
      </c>
      <c r="B41" t="s">
        <v>300</v>
      </c>
      <c r="D41">
        <v>30.9</v>
      </c>
      <c r="E41">
        <v>8461</v>
      </c>
      <c r="F41">
        <v>53.9</v>
      </c>
      <c r="G41" s="11"/>
      <c r="H41" t="s">
        <v>383</v>
      </c>
      <c r="I41" t="s">
        <v>383</v>
      </c>
      <c r="J41" t="s">
        <v>383</v>
      </c>
      <c r="K41">
        <v>15</v>
      </c>
      <c r="L41">
        <v>30</v>
      </c>
      <c r="M41" t="s">
        <v>227</v>
      </c>
      <c r="N41" s="6" t="s">
        <v>2184</v>
      </c>
      <c r="O41" s="13"/>
      <c r="P41" s="13"/>
      <c r="R41">
        <v>15</v>
      </c>
      <c r="S41">
        <v>30</v>
      </c>
      <c r="T41" t="s">
        <v>2005</v>
      </c>
      <c r="U41" t="s">
        <v>2009</v>
      </c>
      <c r="V41" t="s">
        <v>2024</v>
      </c>
      <c r="W41" t="s">
        <v>2016</v>
      </c>
      <c r="X41" t="s">
        <v>3041</v>
      </c>
    </row>
    <row r="42" spans="1:24" x14ac:dyDescent="0.3">
      <c r="A42" t="s">
        <v>845</v>
      </c>
      <c r="B42" t="s">
        <v>17</v>
      </c>
      <c r="D42">
        <v>20.399999999999999</v>
      </c>
      <c r="E42">
        <v>6442</v>
      </c>
      <c r="F42">
        <v>47.67</v>
      </c>
      <c r="G42" s="8" t="s">
        <v>2051</v>
      </c>
      <c r="H42" t="s">
        <v>1746</v>
      </c>
      <c r="I42">
        <v>6442</v>
      </c>
      <c r="J42">
        <v>3438916</v>
      </c>
      <c r="K42">
        <v>22</v>
      </c>
      <c r="L42">
        <v>45</v>
      </c>
      <c r="M42" t="s">
        <v>227</v>
      </c>
      <c r="N42" s="6" t="s">
        <v>2185</v>
      </c>
      <c r="R42">
        <v>22</v>
      </c>
      <c r="S42">
        <v>45</v>
      </c>
      <c r="T42" t="s">
        <v>1769</v>
      </c>
      <c r="U42" t="s">
        <v>2009</v>
      </c>
      <c r="V42" t="s">
        <v>2024</v>
      </c>
      <c r="W42" t="s">
        <v>2016</v>
      </c>
      <c r="X42" t="s">
        <v>2039</v>
      </c>
    </row>
    <row r="43" spans="1:24" x14ac:dyDescent="0.3">
      <c r="A43" t="s">
        <v>1375</v>
      </c>
      <c r="B43" t="s">
        <v>3725</v>
      </c>
      <c r="D43">
        <f>AVERAGE(40.168,40.14)</f>
        <v>40.153999999999996</v>
      </c>
      <c r="E43">
        <f>AVERAGE(13099,12816)</f>
        <v>12957.5</v>
      </c>
      <c r="F43">
        <v>47</v>
      </c>
      <c r="G43" s="11"/>
      <c r="H43" t="s">
        <v>340</v>
      </c>
      <c r="I43">
        <v>13098</v>
      </c>
      <c r="J43">
        <v>5862436</v>
      </c>
      <c r="M43" t="s">
        <v>1691</v>
      </c>
      <c r="N43" s="6" t="s">
        <v>2168</v>
      </c>
      <c r="O43">
        <v>15</v>
      </c>
      <c r="P43">
        <v>40</v>
      </c>
      <c r="Q43">
        <v>12</v>
      </c>
      <c r="R43">
        <v>15</v>
      </c>
      <c r="S43">
        <v>40</v>
      </c>
      <c r="T43" t="s">
        <v>595</v>
      </c>
      <c r="U43" t="s">
        <v>2009</v>
      </c>
      <c r="V43" t="s">
        <v>2024</v>
      </c>
      <c r="W43" t="s">
        <v>2016</v>
      </c>
      <c r="X43" t="s">
        <v>2039</v>
      </c>
    </row>
    <row r="44" spans="1:24" x14ac:dyDescent="0.3">
      <c r="A44" t="s">
        <v>1278</v>
      </c>
      <c r="B44" t="s">
        <v>784</v>
      </c>
      <c r="D44">
        <v>25.7</v>
      </c>
      <c r="F44">
        <v>49</v>
      </c>
      <c r="G44" s="11"/>
      <c r="H44" t="s">
        <v>383</v>
      </c>
      <c r="I44" t="s">
        <v>383</v>
      </c>
      <c r="J44" t="s">
        <v>383</v>
      </c>
      <c r="K44">
        <v>10</v>
      </c>
      <c r="L44">
        <v>40</v>
      </c>
      <c r="M44" t="s">
        <v>227</v>
      </c>
      <c r="N44" s="6" t="s">
        <v>2186</v>
      </c>
      <c r="R44">
        <v>10</v>
      </c>
      <c r="S44">
        <v>40</v>
      </c>
      <c r="T44" t="s">
        <v>597</v>
      </c>
      <c r="U44" t="s">
        <v>2009</v>
      </c>
      <c r="V44" t="s">
        <v>2024</v>
      </c>
      <c r="W44" t="s">
        <v>2016</v>
      </c>
      <c r="X44" t="s">
        <v>2039</v>
      </c>
    </row>
    <row r="45" spans="1:24" x14ac:dyDescent="0.3">
      <c r="A45" t="s">
        <v>846</v>
      </c>
      <c r="B45" t="s">
        <v>407</v>
      </c>
      <c r="D45">
        <v>37.330199999999998</v>
      </c>
      <c r="E45">
        <v>11224</v>
      </c>
      <c r="F45">
        <v>49.05</v>
      </c>
      <c r="G45" s="11"/>
      <c r="H45" t="s">
        <v>340</v>
      </c>
      <c r="I45">
        <v>11224</v>
      </c>
      <c r="J45">
        <v>6045329</v>
      </c>
      <c r="K45">
        <v>16</v>
      </c>
      <c r="L45">
        <v>34</v>
      </c>
      <c r="M45" t="s">
        <v>226</v>
      </c>
      <c r="N45" s="6" t="s">
        <v>2187</v>
      </c>
      <c r="O45">
        <v>12</v>
      </c>
      <c r="P45">
        <v>40</v>
      </c>
      <c r="Q45">
        <v>3</v>
      </c>
      <c r="R45">
        <v>12</v>
      </c>
      <c r="S45">
        <v>40</v>
      </c>
      <c r="T45" t="s">
        <v>400</v>
      </c>
      <c r="U45" t="s">
        <v>2009</v>
      </c>
      <c r="V45" t="s">
        <v>2024</v>
      </c>
      <c r="W45" t="s">
        <v>2016</v>
      </c>
      <c r="X45" t="s">
        <v>2039</v>
      </c>
    </row>
    <row r="46" spans="1:24" x14ac:dyDescent="0.3">
      <c r="A46" t="s">
        <v>1269</v>
      </c>
      <c r="B46" t="s">
        <v>772</v>
      </c>
      <c r="D46">
        <v>31.994</v>
      </c>
      <c r="E46">
        <v>10889</v>
      </c>
      <c r="F46">
        <v>50.09</v>
      </c>
      <c r="G46" s="11"/>
      <c r="H46" t="s">
        <v>3707</v>
      </c>
      <c r="I46">
        <v>10889</v>
      </c>
      <c r="J46">
        <v>5681098</v>
      </c>
      <c r="K46">
        <v>20</v>
      </c>
      <c r="L46">
        <v>48</v>
      </c>
      <c r="M46" t="s">
        <v>226</v>
      </c>
      <c r="N46" s="6" t="s">
        <v>2188</v>
      </c>
      <c r="R46">
        <v>20</v>
      </c>
      <c r="S46">
        <v>48</v>
      </c>
      <c r="T46" t="s">
        <v>596</v>
      </c>
      <c r="U46" t="s">
        <v>2009</v>
      </c>
      <c r="V46" t="s">
        <v>2024</v>
      </c>
      <c r="W46" t="s">
        <v>2016</v>
      </c>
      <c r="X46" t="s">
        <v>2039</v>
      </c>
    </row>
    <row r="47" spans="1:24" x14ac:dyDescent="0.3">
      <c r="A47" t="s">
        <v>1317</v>
      </c>
      <c r="B47" t="s">
        <v>686</v>
      </c>
      <c r="D47">
        <f>AVERAGE(41.102,40.389)</f>
        <v>40.7455</v>
      </c>
      <c r="E47">
        <f>AVERAGE(15139,14510)</f>
        <v>14824.5</v>
      </c>
      <c r="F47">
        <v>51</v>
      </c>
      <c r="G47" s="11"/>
      <c r="H47" t="s">
        <v>1746</v>
      </c>
      <c r="I47">
        <v>15115</v>
      </c>
      <c r="J47">
        <v>6880337</v>
      </c>
      <c r="K47">
        <v>5</v>
      </c>
      <c r="L47">
        <v>40</v>
      </c>
      <c r="M47" t="s">
        <v>227</v>
      </c>
      <c r="N47" s="6" t="s">
        <v>2189</v>
      </c>
      <c r="R47">
        <v>5</v>
      </c>
      <c r="S47">
        <v>40</v>
      </c>
      <c r="T47" t="s">
        <v>596</v>
      </c>
      <c r="U47" t="s">
        <v>2009</v>
      </c>
      <c r="V47" t="s">
        <v>2024</v>
      </c>
      <c r="W47" t="s">
        <v>2016</v>
      </c>
      <c r="X47" t="s">
        <v>2039</v>
      </c>
    </row>
    <row r="48" spans="1:24" x14ac:dyDescent="0.3">
      <c r="A48" t="s">
        <v>1264</v>
      </c>
      <c r="B48" t="s">
        <v>767</v>
      </c>
      <c r="D48">
        <v>28.257000000000001</v>
      </c>
      <c r="E48">
        <v>9764</v>
      </c>
      <c r="F48">
        <v>51</v>
      </c>
      <c r="G48" s="11"/>
      <c r="H48" t="s">
        <v>340</v>
      </c>
      <c r="I48">
        <v>9756</v>
      </c>
      <c r="J48">
        <v>4676617</v>
      </c>
      <c r="K48">
        <v>10</v>
      </c>
      <c r="L48">
        <v>35</v>
      </c>
      <c r="M48" t="s">
        <v>227</v>
      </c>
      <c r="N48" s="6" t="s">
        <v>2190</v>
      </c>
      <c r="R48">
        <v>10</v>
      </c>
      <c r="S48">
        <v>35</v>
      </c>
      <c r="T48" t="s">
        <v>595</v>
      </c>
      <c r="U48" t="s">
        <v>2009</v>
      </c>
      <c r="V48" t="s">
        <v>2024</v>
      </c>
      <c r="W48" t="s">
        <v>2016</v>
      </c>
      <c r="X48" t="s">
        <v>2039</v>
      </c>
    </row>
    <row r="49" spans="1:24" x14ac:dyDescent="0.3">
      <c r="A49" t="s">
        <v>1318</v>
      </c>
      <c r="B49" t="s">
        <v>687</v>
      </c>
      <c r="D49">
        <f>AVERAGE(27.302,27.317)</f>
        <v>27.3095</v>
      </c>
      <c r="E49">
        <f>AVERAGE(9411,9641)</f>
        <v>9526</v>
      </c>
      <c r="F49">
        <v>52</v>
      </c>
      <c r="G49" s="11"/>
      <c r="H49" t="s">
        <v>1746</v>
      </c>
      <c r="I49">
        <v>9639</v>
      </c>
      <c r="J49">
        <v>4627908</v>
      </c>
      <c r="K49">
        <v>10</v>
      </c>
      <c r="L49">
        <v>30</v>
      </c>
      <c r="M49" t="s">
        <v>227</v>
      </c>
      <c r="N49" s="6" t="s">
        <v>2191</v>
      </c>
      <c r="R49">
        <v>10</v>
      </c>
      <c r="S49">
        <v>30</v>
      </c>
      <c r="T49" t="s">
        <v>595</v>
      </c>
      <c r="U49" t="s">
        <v>2009</v>
      </c>
      <c r="V49" t="s">
        <v>2024</v>
      </c>
      <c r="W49" t="s">
        <v>2016</v>
      </c>
      <c r="X49" t="s">
        <v>2039</v>
      </c>
    </row>
    <row r="50" spans="1:24" x14ac:dyDescent="0.3">
      <c r="A50" t="s">
        <v>847</v>
      </c>
      <c r="B50" t="s">
        <v>53</v>
      </c>
      <c r="D50">
        <v>33.959000000000003</v>
      </c>
      <c r="E50">
        <v>11755</v>
      </c>
      <c r="F50">
        <v>51.6</v>
      </c>
      <c r="G50" s="11"/>
      <c r="H50" t="s">
        <v>1746</v>
      </c>
      <c r="I50">
        <v>11034</v>
      </c>
      <c r="J50">
        <v>5099040</v>
      </c>
      <c r="K50">
        <v>9</v>
      </c>
      <c r="L50">
        <v>36</v>
      </c>
      <c r="M50" t="s">
        <v>226</v>
      </c>
      <c r="N50" s="6" t="s">
        <v>2192</v>
      </c>
      <c r="O50">
        <v>13</v>
      </c>
      <c r="P50">
        <v>40</v>
      </c>
      <c r="Q50">
        <v>6</v>
      </c>
      <c r="R50">
        <v>9</v>
      </c>
      <c r="S50">
        <v>40</v>
      </c>
      <c r="T50" t="s">
        <v>595</v>
      </c>
      <c r="U50" t="s">
        <v>2009</v>
      </c>
      <c r="V50" t="s">
        <v>2024</v>
      </c>
      <c r="W50" t="s">
        <v>2016</v>
      </c>
      <c r="X50" t="s">
        <v>2039</v>
      </c>
    </row>
    <row r="51" spans="1:24" x14ac:dyDescent="0.3">
      <c r="A51" t="s">
        <v>848</v>
      </c>
      <c r="B51" t="s">
        <v>205</v>
      </c>
      <c r="D51">
        <v>26.414000000000001</v>
      </c>
      <c r="E51">
        <v>10253</v>
      </c>
      <c r="F51">
        <v>49.3</v>
      </c>
      <c r="G51" s="8" t="s">
        <v>2063</v>
      </c>
      <c r="H51" t="s">
        <v>1746</v>
      </c>
      <c r="I51">
        <v>10232</v>
      </c>
      <c r="J51">
        <v>4720365</v>
      </c>
      <c r="K51">
        <v>12</v>
      </c>
      <c r="L51">
        <v>42</v>
      </c>
      <c r="M51" t="s">
        <v>228</v>
      </c>
      <c r="N51" s="6" t="s">
        <v>2193</v>
      </c>
      <c r="R51">
        <v>12</v>
      </c>
      <c r="S51">
        <v>42</v>
      </c>
      <c r="T51" t="s">
        <v>597</v>
      </c>
      <c r="U51" t="s">
        <v>2009</v>
      </c>
      <c r="V51" t="s">
        <v>2024</v>
      </c>
      <c r="W51" t="s">
        <v>2016</v>
      </c>
      <c r="X51" t="s">
        <v>2039</v>
      </c>
    </row>
    <row r="52" spans="1:24" x14ac:dyDescent="0.3">
      <c r="A52" t="s">
        <v>1319</v>
      </c>
      <c r="B52" t="s">
        <v>688</v>
      </c>
      <c r="D52">
        <v>30.132000000000001</v>
      </c>
      <c r="E52">
        <v>9078</v>
      </c>
      <c r="F52">
        <v>43</v>
      </c>
      <c r="G52" s="11"/>
      <c r="H52" t="s">
        <v>1746</v>
      </c>
      <c r="I52">
        <v>9078</v>
      </c>
      <c r="J52">
        <v>4351296</v>
      </c>
      <c r="K52">
        <v>10</v>
      </c>
      <c r="L52">
        <v>30</v>
      </c>
      <c r="M52" t="s">
        <v>227</v>
      </c>
      <c r="N52" s="6" t="s">
        <v>2190</v>
      </c>
      <c r="R52">
        <v>10</v>
      </c>
      <c r="S52">
        <v>30</v>
      </c>
      <c r="T52" t="s">
        <v>595</v>
      </c>
      <c r="U52" t="s">
        <v>2009</v>
      </c>
      <c r="V52" t="s">
        <v>2024</v>
      </c>
      <c r="W52" t="s">
        <v>2016</v>
      </c>
      <c r="X52" t="s">
        <v>2039</v>
      </c>
    </row>
    <row r="53" spans="1:24" x14ac:dyDescent="0.3">
      <c r="A53" t="s">
        <v>1421</v>
      </c>
      <c r="B53" t="s">
        <v>3732</v>
      </c>
      <c r="D53">
        <v>37.552999999999997</v>
      </c>
      <c r="E53">
        <v>13286</v>
      </c>
      <c r="F53">
        <v>49</v>
      </c>
      <c r="G53" s="11"/>
      <c r="H53" t="s">
        <v>3707</v>
      </c>
      <c r="I53">
        <v>13286</v>
      </c>
      <c r="J53">
        <v>6185045</v>
      </c>
      <c r="M53" t="s">
        <v>1691</v>
      </c>
      <c r="N53" s="6" t="s">
        <v>2168</v>
      </c>
      <c r="O53">
        <v>12</v>
      </c>
      <c r="P53">
        <v>40</v>
      </c>
      <c r="Q53">
        <v>3</v>
      </c>
      <c r="R53">
        <v>12</v>
      </c>
      <c r="S53">
        <v>40</v>
      </c>
      <c r="T53" t="s">
        <v>595</v>
      </c>
      <c r="U53" t="s">
        <v>2009</v>
      </c>
      <c r="V53" t="s">
        <v>2024</v>
      </c>
      <c r="W53" t="s">
        <v>2016</v>
      </c>
      <c r="X53" t="s">
        <v>2039</v>
      </c>
    </row>
    <row r="54" spans="1:24" x14ac:dyDescent="0.3">
      <c r="A54" t="s">
        <v>1320</v>
      </c>
      <c r="B54" t="s">
        <v>689</v>
      </c>
      <c r="D54">
        <v>33</v>
      </c>
      <c r="E54">
        <v>10161</v>
      </c>
      <c r="F54">
        <v>49.5</v>
      </c>
      <c r="G54" s="11"/>
      <c r="H54" t="s">
        <v>1746</v>
      </c>
      <c r="I54">
        <v>10242</v>
      </c>
      <c r="J54">
        <v>5411949</v>
      </c>
      <c r="K54">
        <v>12</v>
      </c>
      <c r="L54">
        <v>47</v>
      </c>
      <c r="M54" t="s">
        <v>227</v>
      </c>
      <c r="N54" s="6" t="s">
        <v>2194</v>
      </c>
      <c r="R54">
        <v>12</v>
      </c>
      <c r="S54">
        <v>47</v>
      </c>
      <c r="T54" t="s">
        <v>598</v>
      </c>
      <c r="U54" t="s">
        <v>2009</v>
      </c>
      <c r="V54" t="s">
        <v>2024</v>
      </c>
      <c r="W54" t="s">
        <v>2016</v>
      </c>
      <c r="X54" t="s">
        <v>2039</v>
      </c>
    </row>
    <row r="55" spans="1:24" x14ac:dyDescent="0.3">
      <c r="A55" t="s">
        <v>850</v>
      </c>
      <c r="B55" t="s">
        <v>69</v>
      </c>
      <c r="C55" t="s">
        <v>1693</v>
      </c>
      <c r="D55">
        <v>32.361750000000001</v>
      </c>
      <c r="E55">
        <v>11113</v>
      </c>
      <c r="F55">
        <v>49.5</v>
      </c>
      <c r="G55" s="11"/>
      <c r="H55" t="s">
        <v>1746</v>
      </c>
      <c r="I55">
        <v>9702</v>
      </c>
      <c r="J55">
        <v>5065008</v>
      </c>
      <c r="K55">
        <v>17</v>
      </c>
      <c r="L55">
        <v>48</v>
      </c>
      <c r="M55" t="s">
        <v>226</v>
      </c>
      <c r="N55" s="6" t="s">
        <v>2195</v>
      </c>
      <c r="R55">
        <v>17</v>
      </c>
      <c r="S55">
        <v>48</v>
      </c>
      <c r="T55" t="s">
        <v>598</v>
      </c>
      <c r="U55" t="s">
        <v>2009</v>
      </c>
      <c r="V55" t="s">
        <v>2024</v>
      </c>
      <c r="W55" t="s">
        <v>2016</v>
      </c>
      <c r="X55" t="s">
        <v>2039</v>
      </c>
    </row>
    <row r="56" spans="1:24" x14ac:dyDescent="0.3">
      <c r="A56" t="s">
        <v>1423</v>
      </c>
      <c r="B56" t="s">
        <v>3726</v>
      </c>
      <c r="D56">
        <v>35.256999999999998</v>
      </c>
      <c r="E56">
        <v>13390</v>
      </c>
      <c r="F56">
        <v>52.76</v>
      </c>
      <c r="G56" s="11"/>
      <c r="H56" t="s">
        <v>3707</v>
      </c>
      <c r="I56">
        <v>13390</v>
      </c>
      <c r="J56">
        <v>6172444</v>
      </c>
      <c r="M56" t="s">
        <v>1691</v>
      </c>
      <c r="N56" s="6" t="s">
        <v>2168</v>
      </c>
      <c r="O56">
        <v>11</v>
      </c>
      <c r="P56">
        <v>37.5</v>
      </c>
      <c r="Q56">
        <v>3</v>
      </c>
      <c r="R56">
        <v>11</v>
      </c>
      <c r="S56">
        <v>37.5</v>
      </c>
      <c r="T56" t="s">
        <v>595</v>
      </c>
      <c r="U56" t="s">
        <v>2009</v>
      </c>
      <c r="V56" t="s">
        <v>2024</v>
      </c>
      <c r="W56" t="s">
        <v>2016</v>
      </c>
      <c r="X56" t="s">
        <v>2039</v>
      </c>
    </row>
    <row r="57" spans="1:24" x14ac:dyDescent="0.3">
      <c r="A57" t="s">
        <v>851</v>
      </c>
      <c r="B57" t="s">
        <v>68</v>
      </c>
      <c r="C57" t="s">
        <v>750</v>
      </c>
      <c r="D57">
        <v>37.269500000000001</v>
      </c>
      <c r="E57">
        <v>13160</v>
      </c>
      <c r="F57">
        <v>47.376899999999999</v>
      </c>
      <c r="G57" s="11"/>
      <c r="H57" t="s">
        <v>1746</v>
      </c>
      <c r="I57">
        <v>11429</v>
      </c>
      <c r="J57">
        <v>6065336</v>
      </c>
      <c r="K57">
        <v>16</v>
      </c>
      <c r="L57">
        <v>46</v>
      </c>
      <c r="M57" t="s">
        <v>226</v>
      </c>
      <c r="N57" s="6" t="s">
        <v>2196</v>
      </c>
      <c r="R57">
        <v>16</v>
      </c>
      <c r="S57">
        <v>46</v>
      </c>
      <c r="T57" t="s">
        <v>595</v>
      </c>
      <c r="U57" t="s">
        <v>2009</v>
      </c>
      <c r="V57" t="s">
        <v>2024</v>
      </c>
      <c r="W57" t="s">
        <v>2016</v>
      </c>
      <c r="X57" t="s">
        <v>2039</v>
      </c>
    </row>
    <row r="58" spans="1:24" x14ac:dyDescent="0.3">
      <c r="A58" t="s">
        <v>1268</v>
      </c>
      <c r="B58" t="s">
        <v>771</v>
      </c>
      <c r="D58">
        <v>34.6</v>
      </c>
      <c r="E58">
        <v>11917</v>
      </c>
      <c r="F58">
        <v>49.5</v>
      </c>
      <c r="G58" s="11"/>
      <c r="H58" t="s">
        <v>1746</v>
      </c>
      <c r="I58">
        <v>10467</v>
      </c>
      <c r="J58">
        <v>5535962</v>
      </c>
      <c r="K58">
        <v>10</v>
      </c>
      <c r="L58">
        <v>45</v>
      </c>
      <c r="M58" t="s">
        <v>227</v>
      </c>
      <c r="N58" s="6" t="s">
        <v>2197</v>
      </c>
      <c r="R58">
        <v>10</v>
      </c>
      <c r="S58">
        <v>45</v>
      </c>
      <c r="T58" t="s">
        <v>598</v>
      </c>
      <c r="U58" t="s">
        <v>2009</v>
      </c>
      <c r="V58" t="s">
        <v>2024</v>
      </c>
      <c r="W58" t="s">
        <v>2016</v>
      </c>
      <c r="X58" t="s">
        <v>2039</v>
      </c>
    </row>
    <row r="59" spans="1:24" x14ac:dyDescent="0.3">
      <c r="A59" t="s">
        <v>852</v>
      </c>
      <c r="B59" t="s">
        <v>307</v>
      </c>
      <c r="D59">
        <v>29.296500000000002</v>
      </c>
      <c r="E59">
        <v>9849</v>
      </c>
      <c r="F59">
        <v>52.94</v>
      </c>
      <c r="G59" s="8" t="s">
        <v>2064</v>
      </c>
      <c r="H59" t="s">
        <v>1746</v>
      </c>
      <c r="I59">
        <v>9647</v>
      </c>
      <c r="J59">
        <v>4742849</v>
      </c>
      <c r="K59">
        <v>12</v>
      </c>
      <c r="L59">
        <v>48</v>
      </c>
      <c r="M59" t="s">
        <v>236</v>
      </c>
      <c r="N59" s="6" t="s">
        <v>2198</v>
      </c>
      <c r="O59">
        <v>15.5</v>
      </c>
      <c r="P59">
        <v>40</v>
      </c>
      <c r="R59">
        <v>12</v>
      </c>
      <c r="S59">
        <v>48</v>
      </c>
      <c r="T59" t="s">
        <v>598</v>
      </c>
      <c r="U59" t="s">
        <v>2009</v>
      </c>
      <c r="V59" t="s">
        <v>2024</v>
      </c>
      <c r="W59" t="s">
        <v>2016</v>
      </c>
      <c r="X59" t="s">
        <v>2039</v>
      </c>
    </row>
    <row r="60" spans="1:24" x14ac:dyDescent="0.3">
      <c r="A60" t="s">
        <v>853</v>
      </c>
      <c r="B60" t="s">
        <v>204</v>
      </c>
      <c r="D60">
        <v>27.992999999999999</v>
      </c>
      <c r="E60">
        <v>11277</v>
      </c>
      <c r="F60">
        <v>49.4</v>
      </c>
      <c r="G60" s="8" t="s">
        <v>2065</v>
      </c>
      <c r="H60" t="s">
        <v>1746</v>
      </c>
      <c r="I60">
        <v>11244</v>
      </c>
      <c r="J60">
        <v>4932351</v>
      </c>
      <c r="K60">
        <v>8</v>
      </c>
      <c r="L60">
        <v>38</v>
      </c>
      <c r="M60" t="s">
        <v>226</v>
      </c>
      <c r="N60" s="6" t="s">
        <v>2199</v>
      </c>
      <c r="O60">
        <v>8</v>
      </c>
      <c r="P60">
        <v>40</v>
      </c>
      <c r="Q60">
        <v>12</v>
      </c>
      <c r="R60">
        <v>8</v>
      </c>
      <c r="S60">
        <v>40</v>
      </c>
      <c r="T60" t="s">
        <v>597</v>
      </c>
      <c r="U60" t="s">
        <v>2009</v>
      </c>
      <c r="V60" t="s">
        <v>2024</v>
      </c>
      <c r="W60" t="s">
        <v>2016</v>
      </c>
      <c r="X60" t="s">
        <v>2039</v>
      </c>
    </row>
    <row r="61" spans="1:24" x14ac:dyDescent="0.3">
      <c r="A61" t="s">
        <v>1262</v>
      </c>
      <c r="B61" t="s">
        <v>765</v>
      </c>
      <c r="D61">
        <v>40.451999999999998</v>
      </c>
      <c r="E61">
        <v>15211</v>
      </c>
      <c r="F61">
        <v>51.15</v>
      </c>
      <c r="G61" s="11"/>
      <c r="H61" t="s">
        <v>340</v>
      </c>
      <c r="I61">
        <v>15210</v>
      </c>
      <c r="J61">
        <v>7056374</v>
      </c>
      <c r="K61">
        <v>0</v>
      </c>
      <c r="L61">
        <v>40</v>
      </c>
      <c r="M61" t="s">
        <v>227</v>
      </c>
      <c r="N61" s="6" t="s">
        <v>2189</v>
      </c>
      <c r="R61">
        <v>0</v>
      </c>
      <c r="S61">
        <v>40</v>
      </c>
      <c r="T61" t="s">
        <v>596</v>
      </c>
      <c r="U61" t="s">
        <v>2009</v>
      </c>
      <c r="V61" t="s">
        <v>2024</v>
      </c>
      <c r="W61" t="s">
        <v>2016</v>
      </c>
      <c r="X61" t="s">
        <v>2039</v>
      </c>
    </row>
    <row r="62" spans="1:24" x14ac:dyDescent="0.3">
      <c r="A62" t="s">
        <v>747</v>
      </c>
      <c r="B62" t="s">
        <v>533</v>
      </c>
      <c r="C62" t="s">
        <v>302</v>
      </c>
      <c r="D62">
        <v>36.098999999999997</v>
      </c>
      <c r="E62">
        <v>12024</v>
      </c>
      <c r="F62">
        <v>50.8</v>
      </c>
      <c r="G62" s="11"/>
      <c r="H62" t="s">
        <v>340</v>
      </c>
      <c r="I62">
        <v>12022</v>
      </c>
      <c r="J62">
        <v>5675909</v>
      </c>
      <c r="K62">
        <v>11</v>
      </c>
      <c r="L62">
        <v>36</v>
      </c>
      <c r="M62" t="s">
        <v>226</v>
      </c>
      <c r="N62" s="6" t="s">
        <v>2200</v>
      </c>
      <c r="O62">
        <v>12.5</v>
      </c>
      <c r="P62">
        <v>40</v>
      </c>
      <c r="Q62">
        <v>3</v>
      </c>
      <c r="R62">
        <v>11</v>
      </c>
      <c r="S62">
        <v>40</v>
      </c>
      <c r="T62" t="s">
        <v>595</v>
      </c>
      <c r="U62" t="s">
        <v>2009</v>
      </c>
      <c r="V62" t="s">
        <v>2024</v>
      </c>
      <c r="W62" t="s">
        <v>2016</v>
      </c>
      <c r="X62" t="s">
        <v>2039</v>
      </c>
    </row>
    <row r="63" spans="1:24" x14ac:dyDescent="0.3">
      <c r="A63" t="s">
        <v>1265</v>
      </c>
      <c r="B63" t="s">
        <v>768</v>
      </c>
      <c r="D63">
        <v>27.452000000000002</v>
      </c>
      <c r="E63">
        <v>9768</v>
      </c>
      <c r="F63">
        <v>53</v>
      </c>
      <c r="G63" s="11"/>
      <c r="H63" t="s">
        <v>383</v>
      </c>
      <c r="I63" t="s">
        <v>383</v>
      </c>
      <c r="J63" t="s">
        <v>383</v>
      </c>
      <c r="K63">
        <v>15</v>
      </c>
      <c r="L63">
        <v>40</v>
      </c>
      <c r="M63" t="s">
        <v>227</v>
      </c>
      <c r="N63" s="6" t="s">
        <v>2190</v>
      </c>
      <c r="R63">
        <v>15</v>
      </c>
      <c r="S63">
        <v>40</v>
      </c>
      <c r="T63" t="s">
        <v>595</v>
      </c>
      <c r="U63" t="s">
        <v>2009</v>
      </c>
      <c r="V63" t="s">
        <v>2024</v>
      </c>
      <c r="W63" t="s">
        <v>2016</v>
      </c>
      <c r="X63" t="s">
        <v>2039</v>
      </c>
    </row>
    <row r="64" spans="1:24" x14ac:dyDescent="0.3">
      <c r="A64" t="s">
        <v>854</v>
      </c>
      <c r="B64" t="s">
        <v>77</v>
      </c>
      <c r="D64">
        <v>30.483000000000001</v>
      </c>
      <c r="E64">
        <v>10680</v>
      </c>
      <c r="F64">
        <v>50.1</v>
      </c>
      <c r="G64" s="11"/>
      <c r="H64" t="s">
        <v>1746</v>
      </c>
      <c r="I64">
        <v>10561</v>
      </c>
      <c r="J64">
        <v>5092264</v>
      </c>
      <c r="K64">
        <v>10</v>
      </c>
      <c r="L64">
        <v>44</v>
      </c>
      <c r="M64" t="s">
        <v>226</v>
      </c>
      <c r="N64" s="6" t="s">
        <v>2201</v>
      </c>
      <c r="O64">
        <v>14.5</v>
      </c>
      <c r="P64">
        <v>40</v>
      </c>
      <c r="Q64">
        <v>3</v>
      </c>
      <c r="R64">
        <v>10</v>
      </c>
      <c r="S64">
        <v>44</v>
      </c>
      <c r="T64" t="s">
        <v>596</v>
      </c>
      <c r="U64" t="s">
        <v>2009</v>
      </c>
      <c r="V64" t="s">
        <v>2024</v>
      </c>
      <c r="W64" t="s">
        <v>2016</v>
      </c>
      <c r="X64" t="s">
        <v>2039</v>
      </c>
    </row>
    <row r="65" spans="1:24" x14ac:dyDescent="0.3">
      <c r="A65" t="s">
        <v>855</v>
      </c>
      <c r="B65" t="s">
        <v>136</v>
      </c>
      <c r="C65" t="s">
        <v>303</v>
      </c>
      <c r="D65">
        <v>35.353999999999999</v>
      </c>
      <c r="E65">
        <v>12515</v>
      </c>
      <c r="F65">
        <v>49.479599999999998</v>
      </c>
      <c r="G65" s="11"/>
      <c r="H65" t="s">
        <v>1746</v>
      </c>
      <c r="I65">
        <v>14069</v>
      </c>
      <c r="J65">
        <v>6183809</v>
      </c>
      <c r="K65">
        <v>3</v>
      </c>
      <c r="L65">
        <v>47</v>
      </c>
      <c r="M65" t="s">
        <v>226</v>
      </c>
      <c r="N65" s="6" t="s">
        <v>2202</v>
      </c>
      <c r="O65">
        <v>7</v>
      </c>
      <c r="P65">
        <v>45.5</v>
      </c>
      <c r="Q65">
        <v>16</v>
      </c>
      <c r="R65">
        <v>3</v>
      </c>
      <c r="S65">
        <v>47</v>
      </c>
      <c r="T65" t="s">
        <v>595</v>
      </c>
      <c r="U65" t="s">
        <v>2009</v>
      </c>
      <c r="V65" t="s">
        <v>2024</v>
      </c>
      <c r="W65" t="s">
        <v>2016</v>
      </c>
      <c r="X65" t="s">
        <v>2039</v>
      </c>
    </row>
    <row r="66" spans="1:24" x14ac:dyDescent="0.3">
      <c r="A66" t="s">
        <v>1263</v>
      </c>
      <c r="B66" t="s">
        <v>766</v>
      </c>
      <c r="D66">
        <f>AVERAGE(35.604,35.744)</f>
        <v>35.673999999999999</v>
      </c>
      <c r="E66">
        <f>AVERAGE(12066,12115)</f>
        <v>12090.5</v>
      </c>
      <c r="F66">
        <v>51</v>
      </c>
      <c r="G66" s="11"/>
      <c r="H66" t="s">
        <v>3707</v>
      </c>
      <c r="I66">
        <v>12066</v>
      </c>
      <c r="J66">
        <v>5860809</v>
      </c>
      <c r="K66">
        <v>10</v>
      </c>
      <c r="L66">
        <v>47</v>
      </c>
      <c r="M66" t="s">
        <v>226</v>
      </c>
      <c r="N66" s="6" t="s">
        <v>2203</v>
      </c>
      <c r="O66">
        <v>12</v>
      </c>
      <c r="P66">
        <v>40</v>
      </c>
      <c r="Q66">
        <v>3</v>
      </c>
      <c r="R66">
        <v>10</v>
      </c>
      <c r="S66">
        <v>47</v>
      </c>
      <c r="T66" t="s">
        <v>595</v>
      </c>
      <c r="U66" t="s">
        <v>2009</v>
      </c>
      <c r="V66" t="s">
        <v>2024</v>
      </c>
      <c r="W66" t="s">
        <v>2016</v>
      </c>
      <c r="X66" t="s">
        <v>2039</v>
      </c>
    </row>
    <row r="67" spans="1:24" x14ac:dyDescent="0.3">
      <c r="A67" t="s">
        <v>979</v>
      </c>
      <c r="B67" t="s">
        <v>308</v>
      </c>
      <c r="C67" t="s">
        <v>309</v>
      </c>
      <c r="D67">
        <v>26.209</v>
      </c>
      <c r="E67">
        <v>10076</v>
      </c>
      <c r="F67">
        <v>48.5</v>
      </c>
      <c r="G67" s="8" t="s">
        <v>2066</v>
      </c>
      <c r="H67" t="s">
        <v>1746</v>
      </c>
      <c r="I67">
        <v>10054</v>
      </c>
      <c r="J67">
        <v>4592169</v>
      </c>
      <c r="K67">
        <v>11</v>
      </c>
      <c r="L67">
        <v>38</v>
      </c>
      <c r="M67" t="s">
        <v>226</v>
      </c>
      <c r="N67" s="6" t="s">
        <v>2204</v>
      </c>
      <c r="O67" s="14"/>
      <c r="P67" s="14"/>
      <c r="R67">
        <v>11</v>
      </c>
      <c r="S67">
        <v>38</v>
      </c>
      <c r="T67" t="s">
        <v>597</v>
      </c>
      <c r="U67" t="s">
        <v>2009</v>
      </c>
      <c r="V67" t="s">
        <v>2024</v>
      </c>
      <c r="W67" t="s">
        <v>2016</v>
      </c>
      <c r="X67" t="s">
        <v>2039</v>
      </c>
    </row>
    <row r="68" spans="1:24" x14ac:dyDescent="0.3">
      <c r="A68" t="s">
        <v>1321</v>
      </c>
      <c r="B68" t="s">
        <v>690</v>
      </c>
      <c r="D68">
        <v>36.72</v>
      </c>
      <c r="E68">
        <v>12338</v>
      </c>
      <c r="F68">
        <v>49.5</v>
      </c>
      <c r="G68" s="11"/>
      <c r="H68" t="s">
        <v>1746</v>
      </c>
      <c r="I68">
        <v>12304</v>
      </c>
      <c r="J68">
        <v>5731707</v>
      </c>
      <c r="K68">
        <v>11</v>
      </c>
      <c r="L68">
        <v>39</v>
      </c>
      <c r="M68" t="s">
        <v>226</v>
      </c>
      <c r="N68" s="6" t="s">
        <v>2205</v>
      </c>
      <c r="R68">
        <v>11</v>
      </c>
      <c r="S68">
        <v>39</v>
      </c>
      <c r="T68" t="s">
        <v>595</v>
      </c>
      <c r="U68" t="s">
        <v>2009</v>
      </c>
      <c r="V68" t="s">
        <v>2024</v>
      </c>
      <c r="W68" t="s">
        <v>2016</v>
      </c>
      <c r="X68" t="s">
        <v>2039</v>
      </c>
    </row>
    <row r="69" spans="1:24" x14ac:dyDescent="0.3">
      <c r="A69" t="s">
        <v>1266</v>
      </c>
      <c r="B69" t="s">
        <v>769</v>
      </c>
      <c r="D69">
        <v>27.302</v>
      </c>
      <c r="E69">
        <v>9411</v>
      </c>
      <c r="F69">
        <v>51.63</v>
      </c>
      <c r="G69" s="11"/>
      <c r="H69" t="s">
        <v>3707</v>
      </c>
      <c r="I69">
        <v>9411</v>
      </c>
      <c r="J69">
        <v>4686349</v>
      </c>
      <c r="K69">
        <v>10</v>
      </c>
      <c r="L69">
        <v>37</v>
      </c>
      <c r="M69" t="s">
        <v>227</v>
      </c>
      <c r="N69" s="6" t="s">
        <v>2190</v>
      </c>
      <c r="R69">
        <v>10</v>
      </c>
      <c r="S69">
        <v>37</v>
      </c>
      <c r="T69" t="s">
        <v>595</v>
      </c>
      <c r="U69" t="s">
        <v>2009</v>
      </c>
      <c r="V69" t="s">
        <v>2024</v>
      </c>
      <c r="W69" t="s">
        <v>2016</v>
      </c>
      <c r="X69" t="s">
        <v>2039</v>
      </c>
    </row>
    <row r="70" spans="1:24" x14ac:dyDescent="0.3">
      <c r="A70" t="s">
        <v>1267</v>
      </c>
      <c r="B70" t="s">
        <v>770</v>
      </c>
      <c r="D70">
        <v>27.120999999999999</v>
      </c>
      <c r="E70">
        <v>9692</v>
      </c>
      <c r="F70">
        <v>51.5</v>
      </c>
      <c r="G70" s="11"/>
      <c r="H70" t="s">
        <v>340</v>
      </c>
      <c r="I70">
        <v>9689</v>
      </c>
      <c r="J70">
        <v>4585915</v>
      </c>
      <c r="K70">
        <v>10</v>
      </c>
      <c r="L70">
        <v>40</v>
      </c>
      <c r="M70" t="s">
        <v>227</v>
      </c>
      <c r="N70" s="6" t="s">
        <v>2190</v>
      </c>
      <c r="R70">
        <v>10</v>
      </c>
      <c r="S70">
        <v>40</v>
      </c>
      <c r="T70" t="s">
        <v>595</v>
      </c>
      <c r="U70" t="s">
        <v>2009</v>
      </c>
      <c r="V70" t="s">
        <v>2024</v>
      </c>
      <c r="W70" t="s">
        <v>2016</v>
      </c>
      <c r="X70" t="s">
        <v>2039</v>
      </c>
    </row>
    <row r="71" spans="1:24" x14ac:dyDescent="0.3">
      <c r="A71" t="s">
        <v>857</v>
      </c>
      <c r="B71" t="s">
        <v>29</v>
      </c>
      <c r="D71">
        <v>29.331</v>
      </c>
      <c r="E71">
        <v>10406</v>
      </c>
      <c r="F71">
        <v>52.2</v>
      </c>
      <c r="G71" s="11"/>
      <c r="H71" t="s">
        <v>1746</v>
      </c>
      <c r="I71">
        <v>10118</v>
      </c>
      <c r="J71">
        <v>5170175</v>
      </c>
      <c r="K71">
        <v>19</v>
      </c>
      <c r="L71">
        <v>48</v>
      </c>
      <c r="M71" t="s">
        <v>226</v>
      </c>
      <c r="N71" s="6" t="s">
        <v>2206</v>
      </c>
      <c r="O71">
        <v>12</v>
      </c>
      <c r="P71">
        <v>40</v>
      </c>
      <c r="Q71">
        <v>3</v>
      </c>
      <c r="R71">
        <v>12</v>
      </c>
      <c r="S71">
        <v>48</v>
      </c>
      <c r="T71" t="s">
        <v>595</v>
      </c>
      <c r="U71" t="s">
        <v>2009</v>
      </c>
      <c r="V71" t="s">
        <v>2024</v>
      </c>
      <c r="W71" t="s">
        <v>2016</v>
      </c>
      <c r="X71" t="s">
        <v>2039</v>
      </c>
    </row>
    <row r="72" spans="1:24" x14ac:dyDescent="0.3">
      <c r="A72" t="s">
        <v>858</v>
      </c>
      <c r="B72" t="s">
        <v>305</v>
      </c>
      <c r="D72">
        <v>35.146000000000001</v>
      </c>
      <c r="E72">
        <v>12322</v>
      </c>
      <c r="F72">
        <v>50.22</v>
      </c>
      <c r="G72" s="8" t="s">
        <v>2067</v>
      </c>
      <c r="H72" t="s">
        <v>1746</v>
      </c>
      <c r="I72">
        <v>12318</v>
      </c>
      <c r="J72">
        <v>5835270</v>
      </c>
      <c r="K72">
        <v>15</v>
      </c>
      <c r="L72">
        <v>39</v>
      </c>
      <c r="M72" t="s">
        <v>226</v>
      </c>
      <c r="N72" s="6" t="s">
        <v>2207</v>
      </c>
      <c r="R72">
        <v>15</v>
      </c>
      <c r="S72">
        <v>39</v>
      </c>
      <c r="T72" t="s">
        <v>595</v>
      </c>
      <c r="U72" t="s">
        <v>2009</v>
      </c>
      <c r="V72" t="s">
        <v>2024</v>
      </c>
      <c r="W72" t="s">
        <v>2016</v>
      </c>
      <c r="X72" t="s">
        <v>2039</v>
      </c>
    </row>
    <row r="73" spans="1:24" x14ac:dyDescent="0.3">
      <c r="A73" t="s">
        <v>859</v>
      </c>
      <c r="B73" t="s">
        <v>372</v>
      </c>
      <c r="C73" t="s">
        <v>373</v>
      </c>
      <c r="D73">
        <f>AVERAGE(32.185,32.185)</f>
        <v>32.185000000000002</v>
      </c>
      <c r="E73">
        <f>AVERAGE(9999,11454)</f>
        <v>10726.5</v>
      </c>
      <c r="F73">
        <v>49.64</v>
      </c>
      <c r="G73" s="11"/>
      <c r="H73" t="s">
        <v>1746</v>
      </c>
      <c r="I73">
        <v>10796</v>
      </c>
      <c r="J73">
        <v>5382638</v>
      </c>
      <c r="K73">
        <v>10</v>
      </c>
      <c r="L73">
        <v>42</v>
      </c>
      <c r="M73" t="s">
        <v>227</v>
      </c>
      <c r="N73" s="6" t="s">
        <v>2208</v>
      </c>
      <c r="R73">
        <v>10</v>
      </c>
      <c r="S73">
        <v>42</v>
      </c>
      <c r="T73" t="s">
        <v>598</v>
      </c>
      <c r="U73" t="s">
        <v>2009</v>
      </c>
      <c r="V73" t="s">
        <v>2024</v>
      </c>
      <c r="W73" t="s">
        <v>2016</v>
      </c>
      <c r="X73" t="s">
        <v>2039</v>
      </c>
    </row>
    <row r="74" spans="1:24" x14ac:dyDescent="0.3">
      <c r="A74" t="s">
        <v>1425</v>
      </c>
      <c r="B74" t="s">
        <v>3728</v>
      </c>
      <c r="D74">
        <v>29.824999999999999</v>
      </c>
      <c r="E74">
        <v>10839</v>
      </c>
      <c r="F74">
        <v>50.08</v>
      </c>
      <c r="G74" s="11"/>
      <c r="H74" t="s">
        <v>3707</v>
      </c>
      <c r="I74">
        <v>10839</v>
      </c>
      <c r="J74">
        <v>5166071</v>
      </c>
      <c r="M74" t="s">
        <v>1691</v>
      </c>
      <c r="N74" s="6" t="s">
        <v>2168</v>
      </c>
      <c r="O74">
        <v>8</v>
      </c>
      <c r="P74">
        <v>35</v>
      </c>
      <c r="Q74">
        <v>3</v>
      </c>
      <c r="R74">
        <v>8</v>
      </c>
      <c r="S74">
        <v>35</v>
      </c>
      <c r="T74" t="s">
        <v>596</v>
      </c>
      <c r="U74" t="s">
        <v>2009</v>
      </c>
      <c r="V74" t="s">
        <v>2024</v>
      </c>
      <c r="W74" t="s">
        <v>2016</v>
      </c>
      <c r="X74" t="s">
        <v>2039</v>
      </c>
    </row>
    <row r="75" spans="1:24" x14ac:dyDescent="0.3">
      <c r="A75" t="s">
        <v>1322</v>
      </c>
      <c r="B75" t="s">
        <v>3729</v>
      </c>
      <c r="D75">
        <v>31.35</v>
      </c>
      <c r="E75">
        <v>12442</v>
      </c>
      <c r="F75">
        <v>48</v>
      </c>
      <c r="G75" s="11"/>
      <c r="H75" t="s">
        <v>1746</v>
      </c>
      <c r="I75">
        <v>12389</v>
      </c>
      <c r="J75">
        <v>5719169</v>
      </c>
      <c r="M75" t="s">
        <v>1691</v>
      </c>
      <c r="N75" s="6" t="s">
        <v>2168</v>
      </c>
      <c r="O75">
        <v>8</v>
      </c>
      <c r="P75">
        <v>37</v>
      </c>
      <c r="Q75">
        <v>4</v>
      </c>
      <c r="R75">
        <v>8</v>
      </c>
      <c r="S75">
        <v>37</v>
      </c>
      <c r="T75" t="s">
        <v>1770</v>
      </c>
      <c r="U75" t="s">
        <v>2009</v>
      </c>
      <c r="V75" t="s">
        <v>2024</v>
      </c>
      <c r="W75" t="s">
        <v>2016</v>
      </c>
      <c r="X75" t="s">
        <v>2039</v>
      </c>
    </row>
    <row r="76" spans="1:24" x14ac:dyDescent="0.3">
      <c r="A76" t="s">
        <v>861</v>
      </c>
      <c r="B76" t="s">
        <v>331</v>
      </c>
      <c r="D76">
        <v>29.3445</v>
      </c>
      <c r="E76">
        <v>8878</v>
      </c>
      <c r="F76">
        <v>49.7</v>
      </c>
      <c r="G76" s="8" t="s">
        <v>2068</v>
      </c>
      <c r="H76" t="s">
        <v>383</v>
      </c>
      <c r="I76" t="s">
        <v>383</v>
      </c>
      <c r="J76" t="s">
        <v>383</v>
      </c>
      <c r="K76">
        <v>12</v>
      </c>
      <c r="L76">
        <v>34</v>
      </c>
      <c r="M76" t="s">
        <v>228</v>
      </c>
      <c r="N76" s="6" t="s">
        <v>2209</v>
      </c>
      <c r="R76">
        <v>12</v>
      </c>
      <c r="S76">
        <v>34</v>
      </c>
      <c r="T76" t="s">
        <v>1771</v>
      </c>
      <c r="U76" t="s">
        <v>2009</v>
      </c>
      <c r="V76" t="s">
        <v>2024</v>
      </c>
      <c r="W76" t="s">
        <v>2016</v>
      </c>
      <c r="X76" t="s">
        <v>2039</v>
      </c>
    </row>
    <row r="77" spans="1:24" x14ac:dyDescent="0.3">
      <c r="A77" t="s">
        <v>1270</v>
      </c>
      <c r="B77" t="s">
        <v>3730</v>
      </c>
      <c r="D77">
        <v>23.8</v>
      </c>
      <c r="F77">
        <v>53</v>
      </c>
      <c r="G77" s="11"/>
      <c r="H77" t="s">
        <v>383</v>
      </c>
      <c r="I77" t="s">
        <v>383</v>
      </c>
      <c r="J77" t="s">
        <v>383</v>
      </c>
      <c r="K77">
        <v>9</v>
      </c>
      <c r="L77">
        <v>35</v>
      </c>
      <c r="M77" t="s">
        <v>226</v>
      </c>
      <c r="N77" s="6" t="s">
        <v>2210</v>
      </c>
      <c r="R77">
        <v>9</v>
      </c>
      <c r="S77">
        <v>35</v>
      </c>
      <c r="T77" t="s">
        <v>600</v>
      </c>
      <c r="U77" t="s">
        <v>2009</v>
      </c>
      <c r="V77" t="s">
        <v>2024</v>
      </c>
      <c r="W77" t="s">
        <v>2016</v>
      </c>
      <c r="X77" t="s">
        <v>2039</v>
      </c>
    </row>
    <row r="78" spans="1:24" x14ac:dyDescent="0.3">
      <c r="A78" t="s">
        <v>1323</v>
      </c>
      <c r="B78" t="s">
        <v>691</v>
      </c>
      <c r="D78">
        <v>26.202999999999999</v>
      </c>
      <c r="E78">
        <v>10594</v>
      </c>
      <c r="F78">
        <v>50</v>
      </c>
      <c r="G78" s="11"/>
      <c r="H78" t="s">
        <v>1746</v>
      </c>
      <c r="I78">
        <v>22224</v>
      </c>
      <c r="J78">
        <v>8713476</v>
      </c>
      <c r="K78">
        <v>15</v>
      </c>
      <c r="L78">
        <v>37</v>
      </c>
      <c r="M78" t="s">
        <v>227</v>
      </c>
      <c r="N78" s="6" t="s">
        <v>2211</v>
      </c>
      <c r="R78">
        <v>15</v>
      </c>
      <c r="S78">
        <v>37</v>
      </c>
      <c r="T78" t="s">
        <v>600</v>
      </c>
      <c r="U78" t="s">
        <v>2009</v>
      </c>
      <c r="V78" t="s">
        <v>2024</v>
      </c>
      <c r="W78" t="s">
        <v>2016</v>
      </c>
      <c r="X78" t="s">
        <v>2039</v>
      </c>
    </row>
    <row r="79" spans="1:24" x14ac:dyDescent="0.3">
      <c r="A79" t="s">
        <v>862</v>
      </c>
      <c r="B79" t="s">
        <v>98</v>
      </c>
      <c r="D79">
        <f>AVERAGE(28.038,28.411,26.203,25.428,29.621,25.796)</f>
        <v>27.249499999999998</v>
      </c>
      <c r="E79">
        <f>AVERAGE(11167,10925,10594,10266,11866,10809)</f>
        <v>10937.833333333334</v>
      </c>
      <c r="F79">
        <v>50.6</v>
      </c>
      <c r="G79" s="11"/>
      <c r="H79" t="s">
        <v>1746</v>
      </c>
      <c r="I79">
        <v>11844</v>
      </c>
      <c r="J79">
        <v>5256702</v>
      </c>
      <c r="K79">
        <v>10</v>
      </c>
      <c r="L79">
        <v>42</v>
      </c>
      <c r="M79" t="s">
        <v>226</v>
      </c>
      <c r="N79" s="6" t="s">
        <v>2212</v>
      </c>
      <c r="O79">
        <v>6</v>
      </c>
      <c r="P79">
        <v>23</v>
      </c>
      <c r="Q79">
        <v>2</v>
      </c>
      <c r="R79">
        <v>6</v>
      </c>
      <c r="S79">
        <v>42</v>
      </c>
      <c r="T79" t="s">
        <v>600</v>
      </c>
      <c r="U79" t="s">
        <v>2009</v>
      </c>
      <c r="V79" t="s">
        <v>2024</v>
      </c>
      <c r="W79" t="s">
        <v>2016</v>
      </c>
      <c r="X79" t="s">
        <v>2039</v>
      </c>
    </row>
    <row r="80" spans="1:24" x14ac:dyDescent="0.3">
      <c r="A80" t="s">
        <v>1324</v>
      </c>
      <c r="B80" t="s">
        <v>692</v>
      </c>
      <c r="C80" t="s">
        <v>1702</v>
      </c>
      <c r="D80">
        <v>25.797000000000001</v>
      </c>
      <c r="E80">
        <v>10809</v>
      </c>
      <c r="F80">
        <v>51</v>
      </c>
      <c r="G80" s="11"/>
      <c r="H80" t="s">
        <v>1746</v>
      </c>
      <c r="I80">
        <v>10792</v>
      </c>
      <c r="J80">
        <v>4879484</v>
      </c>
      <c r="K80">
        <v>4</v>
      </c>
      <c r="L80">
        <v>30</v>
      </c>
      <c r="M80" t="s">
        <v>227</v>
      </c>
      <c r="N80" s="6" t="s">
        <v>2213</v>
      </c>
      <c r="R80">
        <v>4</v>
      </c>
      <c r="S80">
        <v>30</v>
      </c>
      <c r="T80" t="s">
        <v>600</v>
      </c>
      <c r="U80" t="s">
        <v>2009</v>
      </c>
      <c r="V80" t="s">
        <v>2024</v>
      </c>
      <c r="W80" t="s">
        <v>2016</v>
      </c>
      <c r="X80" t="s">
        <v>2039</v>
      </c>
    </row>
    <row r="81" spans="1:24" x14ac:dyDescent="0.3">
      <c r="A81" t="s">
        <v>1310</v>
      </c>
      <c r="B81" t="s">
        <v>825</v>
      </c>
      <c r="D81">
        <v>43.6</v>
      </c>
      <c r="E81">
        <v>10792</v>
      </c>
      <c r="F81">
        <v>57</v>
      </c>
      <c r="G81" s="11"/>
      <c r="H81" t="s">
        <v>383</v>
      </c>
      <c r="I81" t="s">
        <v>383</v>
      </c>
      <c r="J81" t="s">
        <v>383</v>
      </c>
      <c r="K81">
        <v>10</v>
      </c>
      <c r="L81">
        <v>40</v>
      </c>
      <c r="M81" t="s">
        <v>226</v>
      </c>
      <c r="N81" s="6" t="s">
        <v>2214</v>
      </c>
      <c r="R81">
        <v>10</v>
      </c>
      <c r="S81">
        <v>40</v>
      </c>
      <c r="T81" t="s">
        <v>1772</v>
      </c>
      <c r="U81" t="s">
        <v>2009</v>
      </c>
      <c r="V81" t="s">
        <v>2024</v>
      </c>
      <c r="W81" t="s">
        <v>2015</v>
      </c>
      <c r="X81" t="s">
        <v>3039</v>
      </c>
    </row>
    <row r="82" spans="1:24" x14ac:dyDescent="0.3">
      <c r="A82" t="s">
        <v>863</v>
      </c>
      <c r="B82" t="s">
        <v>315</v>
      </c>
      <c r="D82">
        <v>37.6</v>
      </c>
      <c r="E82">
        <v>14118</v>
      </c>
      <c r="F82">
        <v>46.7</v>
      </c>
      <c r="G82" s="8" t="s">
        <v>2058</v>
      </c>
      <c r="H82" t="s">
        <v>383</v>
      </c>
      <c r="I82" t="s">
        <v>383</v>
      </c>
      <c r="J82" t="s">
        <v>383</v>
      </c>
      <c r="K82">
        <v>13</v>
      </c>
      <c r="L82">
        <v>37</v>
      </c>
      <c r="M82" t="s">
        <v>226</v>
      </c>
      <c r="N82" s="6" t="s">
        <v>2215</v>
      </c>
      <c r="R82">
        <v>13</v>
      </c>
      <c r="S82">
        <v>37</v>
      </c>
      <c r="T82" t="s">
        <v>1772</v>
      </c>
      <c r="U82" t="s">
        <v>2009</v>
      </c>
      <c r="V82" t="s">
        <v>2024</v>
      </c>
      <c r="W82" t="s">
        <v>2015</v>
      </c>
      <c r="X82" t="s">
        <v>3039</v>
      </c>
    </row>
    <row r="83" spans="1:24" x14ac:dyDescent="0.3">
      <c r="A83" t="s">
        <v>864</v>
      </c>
      <c r="B83" t="s">
        <v>374</v>
      </c>
      <c r="C83" t="s">
        <v>541</v>
      </c>
      <c r="D83">
        <v>76.853999999999999</v>
      </c>
      <c r="E83">
        <v>25459</v>
      </c>
      <c r="F83">
        <v>57.9</v>
      </c>
      <c r="G83" s="11"/>
      <c r="H83" t="s">
        <v>1746</v>
      </c>
      <c r="I83">
        <v>5290</v>
      </c>
      <c r="J83">
        <v>1838300</v>
      </c>
      <c r="K83">
        <v>10</v>
      </c>
      <c r="L83">
        <v>36</v>
      </c>
      <c r="M83" t="s">
        <v>228</v>
      </c>
      <c r="N83" s="6" t="s">
        <v>2216</v>
      </c>
      <c r="R83">
        <v>10</v>
      </c>
      <c r="S83">
        <v>36</v>
      </c>
      <c r="T83" t="s">
        <v>1772</v>
      </c>
      <c r="U83" t="s">
        <v>2009</v>
      </c>
      <c r="V83" t="s">
        <v>2024</v>
      </c>
      <c r="W83" t="s">
        <v>2015</v>
      </c>
      <c r="X83" t="s">
        <v>3039</v>
      </c>
    </row>
    <row r="84" spans="1:24" x14ac:dyDescent="0.3">
      <c r="A84" t="s">
        <v>865</v>
      </c>
      <c r="B84" t="s">
        <v>55</v>
      </c>
      <c r="D84">
        <v>33.694000000000003</v>
      </c>
      <c r="E84">
        <v>10364</v>
      </c>
      <c r="F84">
        <v>50.1</v>
      </c>
      <c r="G84" s="11"/>
      <c r="H84" t="s">
        <v>1746</v>
      </c>
      <c r="I84">
        <v>10656</v>
      </c>
      <c r="J84">
        <v>4698728</v>
      </c>
      <c r="K84">
        <v>14</v>
      </c>
      <c r="L84">
        <v>34</v>
      </c>
      <c r="M84" t="s">
        <v>228</v>
      </c>
      <c r="N84" s="6" t="s">
        <v>2217</v>
      </c>
      <c r="R84">
        <v>14</v>
      </c>
      <c r="S84">
        <v>34</v>
      </c>
      <c r="T84" t="s">
        <v>1773</v>
      </c>
      <c r="U84" t="s">
        <v>2009</v>
      </c>
      <c r="V84" t="s">
        <v>2024</v>
      </c>
      <c r="W84" t="s">
        <v>2016</v>
      </c>
      <c r="X84" t="s">
        <v>2039</v>
      </c>
    </row>
    <row r="85" spans="1:24" x14ac:dyDescent="0.3">
      <c r="A85" t="s">
        <v>866</v>
      </c>
      <c r="B85" t="s">
        <v>54</v>
      </c>
      <c r="D85">
        <v>32.515999999999998</v>
      </c>
      <c r="E85">
        <v>9595</v>
      </c>
      <c r="F85">
        <v>51.5</v>
      </c>
      <c r="G85" s="11"/>
      <c r="H85" t="s">
        <v>340</v>
      </c>
      <c r="I85">
        <v>9595</v>
      </c>
      <c r="J85">
        <v>4749043</v>
      </c>
      <c r="K85">
        <v>7</v>
      </c>
      <c r="L85">
        <v>35</v>
      </c>
      <c r="M85" t="s">
        <v>227</v>
      </c>
      <c r="N85" s="6" t="s">
        <v>2218</v>
      </c>
      <c r="R85">
        <v>7</v>
      </c>
      <c r="S85">
        <v>35</v>
      </c>
      <c r="T85" t="s">
        <v>1773</v>
      </c>
      <c r="U85" t="s">
        <v>2009</v>
      </c>
      <c r="V85" t="s">
        <v>2024</v>
      </c>
      <c r="W85" t="s">
        <v>2016</v>
      </c>
      <c r="X85" t="s">
        <v>2039</v>
      </c>
    </row>
    <row r="86" spans="1:24" x14ac:dyDescent="0.3">
      <c r="A86" t="s">
        <v>1430</v>
      </c>
      <c r="B86" t="s">
        <v>3731</v>
      </c>
      <c r="D86">
        <v>25.3</v>
      </c>
      <c r="E86">
        <v>10074</v>
      </c>
      <c r="F86">
        <v>52.5</v>
      </c>
      <c r="G86" s="8" t="s">
        <v>2069</v>
      </c>
      <c r="H86" t="s">
        <v>383</v>
      </c>
      <c r="I86" t="s">
        <v>383</v>
      </c>
      <c r="J86" t="s">
        <v>383</v>
      </c>
      <c r="M86" t="s">
        <v>1691</v>
      </c>
      <c r="N86" s="6" t="s">
        <v>2168</v>
      </c>
      <c r="O86">
        <v>7.5</v>
      </c>
      <c r="P86">
        <v>36</v>
      </c>
      <c r="Q86">
        <v>54</v>
      </c>
      <c r="R86">
        <v>7.5</v>
      </c>
      <c r="S86">
        <v>36</v>
      </c>
      <c r="T86" t="s">
        <v>1774</v>
      </c>
      <c r="U86" t="s">
        <v>2009</v>
      </c>
      <c r="V86" t="s">
        <v>2024</v>
      </c>
      <c r="W86" t="s">
        <v>2016</v>
      </c>
      <c r="X86" t="s">
        <v>2039</v>
      </c>
    </row>
    <row r="87" spans="1:24" x14ac:dyDescent="0.3">
      <c r="A87" t="s">
        <v>1432</v>
      </c>
      <c r="B87" t="s">
        <v>3733</v>
      </c>
      <c r="C87" t="s">
        <v>1703</v>
      </c>
      <c r="D87">
        <v>31.361999999999998</v>
      </c>
      <c r="E87">
        <v>12007</v>
      </c>
      <c r="F87">
        <v>50</v>
      </c>
      <c r="G87" s="11"/>
      <c r="H87" t="s">
        <v>340</v>
      </c>
      <c r="I87">
        <v>12002</v>
      </c>
      <c r="J87">
        <v>5345157</v>
      </c>
      <c r="M87" t="s">
        <v>1691</v>
      </c>
      <c r="N87" s="6" t="s">
        <v>2168</v>
      </c>
      <c r="O87">
        <v>2</v>
      </c>
      <c r="P87">
        <v>41</v>
      </c>
      <c r="Q87">
        <v>92</v>
      </c>
      <c r="R87">
        <v>2</v>
      </c>
      <c r="S87">
        <v>41</v>
      </c>
      <c r="T87" t="s">
        <v>1775</v>
      </c>
      <c r="U87" t="s">
        <v>2009</v>
      </c>
      <c r="V87" t="s">
        <v>2024</v>
      </c>
      <c r="W87" t="s">
        <v>2016</v>
      </c>
      <c r="X87" t="s">
        <v>2039</v>
      </c>
    </row>
    <row r="88" spans="1:24" x14ac:dyDescent="0.3">
      <c r="A88" t="s">
        <v>1331</v>
      </c>
      <c r="B88" t="s">
        <v>3734</v>
      </c>
      <c r="C88" t="s">
        <v>588</v>
      </c>
      <c r="D88">
        <v>34.481000000000002</v>
      </c>
      <c r="E88">
        <v>11564</v>
      </c>
      <c r="F88">
        <v>50</v>
      </c>
      <c r="G88" s="11"/>
      <c r="H88" t="s">
        <v>1746</v>
      </c>
      <c r="I88">
        <v>10748</v>
      </c>
      <c r="J88">
        <v>4922650</v>
      </c>
      <c r="M88" t="s">
        <v>1691</v>
      </c>
      <c r="N88" s="6" t="s">
        <v>2168</v>
      </c>
      <c r="O88">
        <v>1</v>
      </c>
      <c r="P88">
        <v>39</v>
      </c>
      <c r="Q88">
        <v>49</v>
      </c>
      <c r="R88">
        <v>1</v>
      </c>
      <c r="S88">
        <v>39</v>
      </c>
      <c r="T88" t="s">
        <v>1775</v>
      </c>
      <c r="U88" t="s">
        <v>2009</v>
      </c>
      <c r="V88" t="s">
        <v>2024</v>
      </c>
      <c r="W88" t="s">
        <v>2016</v>
      </c>
      <c r="X88" t="s">
        <v>2039</v>
      </c>
    </row>
    <row r="89" spans="1:24" x14ac:dyDescent="0.3">
      <c r="A89" t="s">
        <v>869</v>
      </c>
      <c r="B89" t="s">
        <v>32</v>
      </c>
      <c r="C89" t="s">
        <v>1747</v>
      </c>
      <c r="D89">
        <v>31.266999999999999</v>
      </c>
      <c r="E89">
        <v>12857</v>
      </c>
      <c r="F89">
        <v>50.724499999999999</v>
      </c>
      <c r="G89" s="11"/>
      <c r="H89" t="s">
        <v>1746</v>
      </c>
      <c r="I89">
        <v>12851</v>
      </c>
      <c r="J89">
        <v>5498859</v>
      </c>
      <c r="K89">
        <v>10</v>
      </c>
      <c r="L89">
        <v>35</v>
      </c>
      <c r="M89" t="s">
        <v>227</v>
      </c>
      <c r="N89" s="6" t="s">
        <v>2219</v>
      </c>
      <c r="R89">
        <v>10</v>
      </c>
      <c r="S89">
        <v>35</v>
      </c>
      <c r="T89" t="s">
        <v>1775</v>
      </c>
      <c r="U89" t="s">
        <v>2009</v>
      </c>
      <c r="V89" t="s">
        <v>2024</v>
      </c>
      <c r="W89" t="s">
        <v>2016</v>
      </c>
      <c r="X89" t="s">
        <v>2039</v>
      </c>
    </row>
    <row r="90" spans="1:24" x14ac:dyDescent="0.3">
      <c r="A90" t="s">
        <v>1435</v>
      </c>
      <c r="B90" t="s">
        <v>3735</v>
      </c>
      <c r="D90">
        <v>45.591999999999999</v>
      </c>
      <c r="E90">
        <v>11381</v>
      </c>
      <c r="F90">
        <v>45.5</v>
      </c>
      <c r="G90" s="11"/>
      <c r="H90" t="s">
        <v>340</v>
      </c>
      <c r="I90">
        <v>11381</v>
      </c>
      <c r="J90">
        <v>5412610</v>
      </c>
      <c r="M90" t="s">
        <v>1691</v>
      </c>
      <c r="N90" s="6" t="s">
        <v>2168</v>
      </c>
      <c r="O90">
        <v>5</v>
      </c>
      <c r="P90">
        <v>35</v>
      </c>
      <c r="Q90">
        <v>3</v>
      </c>
      <c r="R90">
        <v>5</v>
      </c>
      <c r="S90">
        <v>35</v>
      </c>
      <c r="T90" t="s">
        <v>1776</v>
      </c>
      <c r="U90" t="s">
        <v>2009</v>
      </c>
      <c r="V90" t="s">
        <v>2024</v>
      </c>
      <c r="W90" t="s">
        <v>2016</v>
      </c>
      <c r="X90" t="s">
        <v>2039</v>
      </c>
    </row>
    <row r="91" spans="1:24" x14ac:dyDescent="0.3">
      <c r="A91" t="s">
        <v>1437</v>
      </c>
      <c r="B91" t="s">
        <v>3736</v>
      </c>
      <c r="C91" t="s">
        <v>1704</v>
      </c>
      <c r="D91">
        <f>AVERAGE(38.494,38.894)</f>
        <v>38.694000000000003</v>
      </c>
      <c r="E91">
        <f>AVERAGE(13482,12109)</f>
        <v>12795.5</v>
      </c>
      <c r="F91">
        <v>48.5</v>
      </c>
      <c r="G91" s="11"/>
      <c r="H91" t="s">
        <v>3707</v>
      </c>
      <c r="I91">
        <v>13482</v>
      </c>
      <c r="J91">
        <v>6535733</v>
      </c>
      <c r="M91" t="s">
        <v>1691</v>
      </c>
      <c r="N91" s="6" t="s">
        <v>2168</v>
      </c>
      <c r="O91">
        <v>5</v>
      </c>
      <c r="P91">
        <v>37.5</v>
      </c>
      <c r="Q91">
        <v>5</v>
      </c>
      <c r="R91">
        <v>5</v>
      </c>
      <c r="S91">
        <v>37.5</v>
      </c>
      <c r="T91" t="s">
        <v>1777</v>
      </c>
      <c r="U91" t="s">
        <v>2009</v>
      </c>
      <c r="V91" t="s">
        <v>2024</v>
      </c>
      <c r="W91" t="s">
        <v>2016</v>
      </c>
      <c r="X91" t="s">
        <v>2039</v>
      </c>
    </row>
    <row r="92" spans="1:24" x14ac:dyDescent="0.3">
      <c r="A92" t="s">
        <v>870</v>
      </c>
      <c r="B92" t="s">
        <v>282</v>
      </c>
      <c r="D92">
        <v>42.73</v>
      </c>
      <c r="E92">
        <v>15473</v>
      </c>
      <c r="F92">
        <v>54.3</v>
      </c>
      <c r="G92" s="8" t="s">
        <v>2070</v>
      </c>
      <c r="H92" t="s">
        <v>383</v>
      </c>
      <c r="I92">
        <v>15473</v>
      </c>
      <c r="J92">
        <v>6267849</v>
      </c>
      <c r="K92">
        <v>19</v>
      </c>
      <c r="L92">
        <v>34</v>
      </c>
      <c r="M92" t="s">
        <v>226</v>
      </c>
      <c r="N92" s="6" t="s">
        <v>2220</v>
      </c>
      <c r="O92">
        <v>15</v>
      </c>
      <c r="P92">
        <v>35</v>
      </c>
      <c r="Q92">
        <v>5</v>
      </c>
      <c r="R92">
        <v>15</v>
      </c>
      <c r="S92">
        <v>35</v>
      </c>
      <c r="T92" t="s">
        <v>1778</v>
      </c>
      <c r="U92" t="s">
        <v>2009</v>
      </c>
      <c r="V92" t="s">
        <v>2024</v>
      </c>
      <c r="W92" t="s">
        <v>2015</v>
      </c>
      <c r="X92" t="s">
        <v>3039</v>
      </c>
    </row>
    <row r="93" spans="1:24" ht="15.6" customHeight="1" x14ac:dyDescent="0.3">
      <c r="A93" t="s">
        <v>1271</v>
      </c>
      <c r="B93" t="s">
        <v>774</v>
      </c>
      <c r="D93">
        <v>27.5</v>
      </c>
      <c r="F93">
        <v>47</v>
      </c>
      <c r="G93" s="11"/>
      <c r="H93" t="s">
        <v>383</v>
      </c>
      <c r="I93" t="s">
        <v>383</v>
      </c>
      <c r="J93" t="s">
        <v>383</v>
      </c>
      <c r="K93">
        <v>8</v>
      </c>
      <c r="L93">
        <v>37</v>
      </c>
      <c r="M93" t="s">
        <v>227</v>
      </c>
      <c r="N93" s="6" t="s">
        <v>2221</v>
      </c>
      <c r="R93">
        <v>8</v>
      </c>
      <c r="S93">
        <v>37</v>
      </c>
      <c r="T93" t="s">
        <v>601</v>
      </c>
      <c r="U93" t="s">
        <v>2009</v>
      </c>
      <c r="V93" t="s">
        <v>2024</v>
      </c>
      <c r="W93" t="s">
        <v>2016</v>
      </c>
      <c r="X93" t="s">
        <v>2039</v>
      </c>
    </row>
    <row r="94" spans="1:24" x14ac:dyDescent="0.3">
      <c r="A94" t="s">
        <v>872</v>
      </c>
      <c r="B94" t="s">
        <v>375</v>
      </c>
      <c r="C94" t="s">
        <v>411</v>
      </c>
      <c r="D94">
        <v>27.837</v>
      </c>
      <c r="E94">
        <v>8201</v>
      </c>
      <c r="F94">
        <v>47.5</v>
      </c>
      <c r="G94" s="11"/>
      <c r="H94" t="s">
        <v>1746</v>
      </c>
      <c r="I94">
        <v>8197</v>
      </c>
      <c r="J94">
        <v>4200543</v>
      </c>
      <c r="K94">
        <v>6</v>
      </c>
      <c r="L94">
        <v>40</v>
      </c>
      <c r="M94" t="s">
        <v>226</v>
      </c>
      <c r="N94" s="6" t="s">
        <v>2222</v>
      </c>
      <c r="R94">
        <v>6</v>
      </c>
      <c r="S94">
        <v>40</v>
      </c>
      <c r="T94" t="s">
        <v>601</v>
      </c>
      <c r="U94" t="s">
        <v>2009</v>
      </c>
      <c r="V94" t="s">
        <v>2024</v>
      </c>
      <c r="W94" t="s">
        <v>2016</v>
      </c>
      <c r="X94" t="s">
        <v>2039</v>
      </c>
    </row>
    <row r="95" spans="1:24" x14ac:dyDescent="0.3">
      <c r="A95" t="s">
        <v>873</v>
      </c>
      <c r="B95" t="s">
        <v>376</v>
      </c>
      <c r="D95">
        <v>32.311</v>
      </c>
      <c r="E95">
        <v>10285</v>
      </c>
      <c r="F95">
        <v>47.35</v>
      </c>
      <c r="G95" s="11"/>
      <c r="H95" t="s">
        <v>1746</v>
      </c>
      <c r="I95">
        <v>10283</v>
      </c>
      <c r="J95">
        <v>4463529</v>
      </c>
      <c r="K95">
        <v>11</v>
      </c>
      <c r="L95">
        <v>35</v>
      </c>
      <c r="M95" t="s">
        <v>226</v>
      </c>
      <c r="N95" s="6" t="s">
        <v>2222</v>
      </c>
      <c r="R95">
        <v>11</v>
      </c>
      <c r="S95">
        <v>35</v>
      </c>
      <c r="T95" t="s">
        <v>601</v>
      </c>
      <c r="U95" t="s">
        <v>2009</v>
      </c>
      <c r="V95" t="s">
        <v>2024</v>
      </c>
      <c r="W95" t="s">
        <v>2016</v>
      </c>
      <c r="X95" t="s">
        <v>2039</v>
      </c>
    </row>
    <row r="96" spans="1:24" x14ac:dyDescent="0.3">
      <c r="A96" t="s">
        <v>874</v>
      </c>
      <c r="B96" t="s">
        <v>377</v>
      </c>
      <c r="D96">
        <v>30.9695</v>
      </c>
      <c r="E96">
        <v>8562</v>
      </c>
      <c r="F96">
        <v>44.4</v>
      </c>
      <c r="G96" s="11"/>
      <c r="H96" t="s">
        <v>1746</v>
      </c>
      <c r="I96">
        <v>8561</v>
      </c>
      <c r="J96">
        <v>3669030</v>
      </c>
      <c r="K96">
        <v>8</v>
      </c>
      <c r="L96">
        <v>34</v>
      </c>
      <c r="M96" t="s">
        <v>226</v>
      </c>
      <c r="N96" s="6" t="s">
        <v>2222</v>
      </c>
      <c r="R96">
        <v>8</v>
      </c>
      <c r="S96">
        <v>34</v>
      </c>
      <c r="T96" t="s">
        <v>601</v>
      </c>
      <c r="U96" t="s">
        <v>2009</v>
      </c>
      <c r="V96" t="s">
        <v>2024</v>
      </c>
      <c r="W96" t="s">
        <v>2016</v>
      </c>
      <c r="X96" t="s">
        <v>2039</v>
      </c>
    </row>
    <row r="97" spans="1:24" x14ac:dyDescent="0.3">
      <c r="A97" t="s">
        <v>875</v>
      </c>
      <c r="B97" t="s">
        <v>58</v>
      </c>
      <c r="D97">
        <f>AVERAGE(140.602,110.355,116.475,124.489)</f>
        <v>122.98025000000001</v>
      </c>
      <c r="E97">
        <f>AVERAGE(6425,7057,7239,7118)</f>
        <v>6959.75</v>
      </c>
      <c r="F97">
        <v>43.7</v>
      </c>
      <c r="G97" s="11"/>
      <c r="H97" t="s">
        <v>1746</v>
      </c>
      <c r="I97">
        <v>8255</v>
      </c>
      <c r="J97">
        <v>3103912</v>
      </c>
      <c r="K97">
        <v>10</v>
      </c>
      <c r="L97">
        <v>25</v>
      </c>
      <c r="M97" t="s">
        <v>227</v>
      </c>
      <c r="N97" s="6" t="s">
        <v>2223</v>
      </c>
      <c r="R97">
        <v>10</v>
      </c>
      <c r="S97">
        <v>25</v>
      </c>
      <c r="T97" t="s">
        <v>1779</v>
      </c>
      <c r="U97" t="s">
        <v>2009</v>
      </c>
      <c r="V97" t="s">
        <v>2024</v>
      </c>
      <c r="W97" t="s">
        <v>2016</v>
      </c>
      <c r="X97" t="s">
        <v>2039</v>
      </c>
    </row>
    <row r="98" spans="1:24" x14ac:dyDescent="0.3">
      <c r="A98" t="s">
        <v>1439</v>
      </c>
      <c r="B98" t="s">
        <v>3737</v>
      </c>
      <c r="D98">
        <v>47.4</v>
      </c>
      <c r="E98">
        <v>7898</v>
      </c>
      <c r="F98">
        <v>43.5</v>
      </c>
      <c r="G98" s="8" t="s">
        <v>2071</v>
      </c>
      <c r="H98" t="s">
        <v>383</v>
      </c>
      <c r="I98" t="s">
        <v>383</v>
      </c>
      <c r="J98" t="s">
        <v>383</v>
      </c>
      <c r="K98">
        <v>4</v>
      </c>
      <c r="L98">
        <v>28</v>
      </c>
      <c r="M98" t="s">
        <v>1691</v>
      </c>
      <c r="N98" s="6" t="s">
        <v>2168</v>
      </c>
      <c r="Q98">
        <v>9</v>
      </c>
      <c r="R98">
        <v>4</v>
      </c>
      <c r="S98">
        <v>28</v>
      </c>
      <c r="T98" t="s">
        <v>1780</v>
      </c>
      <c r="U98" t="s">
        <v>2009</v>
      </c>
      <c r="V98" t="s">
        <v>2024</v>
      </c>
      <c r="W98" t="s">
        <v>2016</v>
      </c>
      <c r="X98" t="s">
        <v>2039</v>
      </c>
    </row>
    <row r="99" spans="1:24" x14ac:dyDescent="0.3">
      <c r="A99" t="s">
        <v>1441</v>
      </c>
      <c r="B99" t="s">
        <v>3738</v>
      </c>
      <c r="D99">
        <v>35.322000000000003</v>
      </c>
      <c r="E99">
        <v>12871</v>
      </c>
      <c r="F99">
        <v>53</v>
      </c>
      <c r="G99" s="11"/>
      <c r="H99" t="s">
        <v>340</v>
      </c>
      <c r="I99">
        <v>12871</v>
      </c>
      <c r="J99">
        <v>6091675</v>
      </c>
      <c r="K99">
        <v>15</v>
      </c>
      <c r="L99">
        <v>40</v>
      </c>
      <c r="M99" t="s">
        <v>1691</v>
      </c>
      <c r="N99" s="6" t="s">
        <v>2168</v>
      </c>
      <c r="Q99">
        <v>6</v>
      </c>
      <c r="R99">
        <v>15</v>
      </c>
      <c r="S99">
        <v>40</v>
      </c>
      <c r="T99" t="s">
        <v>1781</v>
      </c>
      <c r="U99" t="s">
        <v>2009</v>
      </c>
      <c r="V99" t="s">
        <v>2024</v>
      </c>
      <c r="W99" t="s">
        <v>2016</v>
      </c>
      <c r="X99" t="s">
        <v>2039</v>
      </c>
    </row>
    <row r="100" spans="1:24" x14ac:dyDescent="0.3">
      <c r="A100" t="s">
        <v>876</v>
      </c>
      <c r="B100" t="s">
        <v>334</v>
      </c>
      <c r="D100">
        <v>51.4</v>
      </c>
      <c r="E100">
        <v>19907</v>
      </c>
      <c r="F100">
        <v>50.3</v>
      </c>
      <c r="G100" s="8" t="s">
        <v>2058</v>
      </c>
      <c r="H100" t="s">
        <v>340</v>
      </c>
      <c r="I100">
        <v>18718</v>
      </c>
      <c r="J100">
        <v>6666643</v>
      </c>
      <c r="K100">
        <v>18</v>
      </c>
      <c r="L100">
        <v>32</v>
      </c>
      <c r="M100" t="s">
        <v>226</v>
      </c>
      <c r="N100" s="6" t="s">
        <v>2224</v>
      </c>
      <c r="R100">
        <v>18</v>
      </c>
      <c r="S100">
        <v>32</v>
      </c>
      <c r="T100" t="s">
        <v>602</v>
      </c>
      <c r="U100" t="s">
        <v>2009</v>
      </c>
      <c r="V100" t="s">
        <v>2024</v>
      </c>
      <c r="W100" t="s">
        <v>2015</v>
      </c>
      <c r="X100" t="s">
        <v>3039</v>
      </c>
    </row>
    <row r="101" spans="1:24" x14ac:dyDescent="0.3">
      <c r="A101" t="s">
        <v>546</v>
      </c>
      <c r="B101" t="s">
        <v>3739</v>
      </c>
      <c r="C101" t="s">
        <v>545</v>
      </c>
      <c r="D101">
        <v>64.861999999999995</v>
      </c>
      <c r="E101">
        <v>17072</v>
      </c>
      <c r="F101">
        <v>47</v>
      </c>
      <c r="G101" s="11"/>
      <c r="H101" t="s">
        <v>340</v>
      </c>
      <c r="I101">
        <v>17069</v>
      </c>
      <c r="J101">
        <v>6800737</v>
      </c>
      <c r="K101">
        <v>7</v>
      </c>
      <c r="L101">
        <v>28</v>
      </c>
      <c r="M101" t="s">
        <v>228</v>
      </c>
      <c r="N101" s="6" t="s">
        <v>2225</v>
      </c>
      <c r="O101" s="9"/>
      <c r="P101" s="9"/>
      <c r="R101">
        <v>7</v>
      </c>
      <c r="S101">
        <v>28</v>
      </c>
      <c r="T101" t="s">
        <v>394</v>
      </c>
      <c r="U101" t="s">
        <v>2009</v>
      </c>
      <c r="V101" t="s">
        <v>2024</v>
      </c>
      <c r="W101" t="s">
        <v>2015</v>
      </c>
      <c r="X101" t="s">
        <v>3039</v>
      </c>
    </row>
    <row r="102" spans="1:24" x14ac:dyDescent="0.3">
      <c r="A102" t="s">
        <v>1325</v>
      </c>
      <c r="B102" t="s">
        <v>693</v>
      </c>
      <c r="D102">
        <v>36.700000000000003</v>
      </c>
      <c r="E102">
        <v>10523</v>
      </c>
      <c r="F102">
        <v>49</v>
      </c>
      <c r="G102" s="11"/>
      <c r="H102" t="s">
        <v>1746</v>
      </c>
      <c r="I102">
        <v>10514</v>
      </c>
      <c r="J102">
        <v>5388005</v>
      </c>
      <c r="K102">
        <v>5</v>
      </c>
      <c r="L102">
        <v>32</v>
      </c>
      <c r="M102" t="s">
        <v>227</v>
      </c>
      <c r="N102" s="6" t="s">
        <v>2226</v>
      </c>
      <c r="R102">
        <v>5</v>
      </c>
      <c r="S102">
        <v>32</v>
      </c>
      <c r="T102" t="s">
        <v>603</v>
      </c>
      <c r="U102" t="s">
        <v>2009</v>
      </c>
      <c r="V102" t="s">
        <v>2024</v>
      </c>
      <c r="W102" t="s">
        <v>2015</v>
      </c>
      <c r="X102" t="s">
        <v>3039</v>
      </c>
    </row>
    <row r="103" spans="1:24" x14ac:dyDescent="0.3">
      <c r="A103" t="s">
        <v>1326</v>
      </c>
      <c r="B103" t="s">
        <v>694</v>
      </c>
      <c r="D103">
        <v>43.5</v>
      </c>
      <c r="E103">
        <v>14998</v>
      </c>
      <c r="F103">
        <v>53</v>
      </c>
      <c r="G103" s="11"/>
      <c r="H103" t="s">
        <v>1746</v>
      </c>
      <c r="I103">
        <v>13104</v>
      </c>
      <c r="J103">
        <v>6550454</v>
      </c>
      <c r="K103">
        <v>8</v>
      </c>
      <c r="L103">
        <v>37</v>
      </c>
      <c r="M103" t="s">
        <v>226</v>
      </c>
      <c r="N103" s="6" t="s">
        <v>2227</v>
      </c>
      <c r="R103">
        <v>8</v>
      </c>
      <c r="S103">
        <v>37</v>
      </c>
      <c r="T103" t="s">
        <v>1782</v>
      </c>
      <c r="U103" t="s">
        <v>2009</v>
      </c>
      <c r="V103" t="s">
        <v>2024</v>
      </c>
      <c r="W103" t="s">
        <v>2016</v>
      </c>
      <c r="X103" t="s">
        <v>2039</v>
      </c>
    </row>
    <row r="104" spans="1:24" x14ac:dyDescent="0.3">
      <c r="A104" t="s">
        <v>877</v>
      </c>
      <c r="B104" t="s">
        <v>27</v>
      </c>
      <c r="D104">
        <f>AVERAGE(39.511,42.663)</f>
        <v>41.087000000000003</v>
      </c>
      <c r="E104">
        <f>AVERAGE(16535,16447)</f>
        <v>16491</v>
      </c>
      <c r="F104">
        <v>42.3</v>
      </c>
      <c r="G104" s="11"/>
      <c r="H104" t="s">
        <v>1746</v>
      </c>
      <c r="I104">
        <v>11741</v>
      </c>
      <c r="J104">
        <v>5814708</v>
      </c>
      <c r="K104">
        <v>4</v>
      </c>
      <c r="L104">
        <v>32</v>
      </c>
      <c r="M104" t="s">
        <v>264</v>
      </c>
      <c r="N104" s="6" t="s">
        <v>2171</v>
      </c>
      <c r="O104">
        <v>-2</v>
      </c>
      <c r="P104">
        <v>39.5</v>
      </c>
      <c r="Q104">
        <v>95</v>
      </c>
      <c r="R104">
        <v>-2</v>
      </c>
      <c r="S104">
        <v>39.5</v>
      </c>
      <c r="T104" t="s">
        <v>604</v>
      </c>
      <c r="U104" t="s">
        <v>2009</v>
      </c>
      <c r="V104" t="s">
        <v>2024</v>
      </c>
      <c r="W104" t="s">
        <v>2016</v>
      </c>
      <c r="X104" t="s">
        <v>2039</v>
      </c>
    </row>
    <row r="105" spans="1:24" x14ac:dyDescent="0.3">
      <c r="A105" t="s">
        <v>878</v>
      </c>
      <c r="B105" t="s">
        <v>378</v>
      </c>
      <c r="D105">
        <v>47.664999999999999</v>
      </c>
      <c r="E105">
        <v>12498</v>
      </c>
      <c r="F105">
        <v>39.4</v>
      </c>
      <c r="G105" s="11"/>
      <c r="H105" t="s">
        <v>1746</v>
      </c>
      <c r="I105">
        <v>12555</v>
      </c>
      <c r="J105">
        <v>5947282</v>
      </c>
      <c r="K105">
        <v>5</v>
      </c>
      <c r="L105">
        <v>25</v>
      </c>
      <c r="M105" t="s">
        <v>227</v>
      </c>
      <c r="N105" s="6" t="s">
        <v>2228</v>
      </c>
      <c r="R105">
        <v>5</v>
      </c>
      <c r="S105">
        <v>25</v>
      </c>
      <c r="T105" t="s">
        <v>604</v>
      </c>
      <c r="U105" t="s">
        <v>2009</v>
      </c>
      <c r="V105" t="s">
        <v>2024</v>
      </c>
      <c r="W105" t="s">
        <v>2016</v>
      </c>
      <c r="X105" t="s">
        <v>2039</v>
      </c>
    </row>
    <row r="106" spans="1:24" ht="17.399999999999999" customHeight="1" x14ac:dyDescent="0.3">
      <c r="A106" t="s">
        <v>879</v>
      </c>
      <c r="B106" t="s">
        <v>379</v>
      </c>
      <c r="D106">
        <v>41.923999999999999</v>
      </c>
      <c r="E106">
        <v>12345</v>
      </c>
      <c r="F106">
        <v>41.6</v>
      </c>
      <c r="G106" s="11"/>
      <c r="H106" t="s">
        <v>1746</v>
      </c>
      <c r="I106">
        <v>12345</v>
      </c>
      <c r="J106">
        <v>5886981</v>
      </c>
      <c r="K106">
        <v>3</v>
      </c>
      <c r="L106">
        <v>31</v>
      </c>
      <c r="M106" t="s">
        <v>226</v>
      </c>
      <c r="N106" s="6" t="s">
        <v>2229</v>
      </c>
      <c r="R106">
        <v>3</v>
      </c>
      <c r="S106">
        <v>31</v>
      </c>
      <c r="T106" t="s">
        <v>604</v>
      </c>
      <c r="U106" t="s">
        <v>2009</v>
      </c>
      <c r="V106" t="s">
        <v>2024</v>
      </c>
      <c r="W106" t="s">
        <v>2016</v>
      </c>
      <c r="X106" t="s">
        <v>2039</v>
      </c>
    </row>
    <row r="107" spans="1:24" ht="18" customHeight="1" x14ac:dyDescent="0.3">
      <c r="A107" t="s">
        <v>1173</v>
      </c>
      <c r="B107" t="s">
        <v>238</v>
      </c>
      <c r="C107" t="s">
        <v>353</v>
      </c>
      <c r="D107">
        <v>19.39</v>
      </c>
      <c r="E107">
        <v>6681</v>
      </c>
      <c r="F107">
        <v>60.6</v>
      </c>
      <c r="G107" s="8" t="s">
        <v>2072</v>
      </c>
      <c r="H107" t="s">
        <v>383</v>
      </c>
      <c r="I107" t="s">
        <v>383</v>
      </c>
      <c r="J107" t="s">
        <v>383</v>
      </c>
      <c r="K107">
        <v>-2</v>
      </c>
      <c r="L107">
        <v>27</v>
      </c>
      <c r="M107" t="s">
        <v>237</v>
      </c>
      <c r="N107" s="6" t="s">
        <v>2230</v>
      </c>
      <c r="R107">
        <v>-2</v>
      </c>
      <c r="S107">
        <v>27</v>
      </c>
      <c r="T107" t="s">
        <v>1783</v>
      </c>
      <c r="U107" t="s">
        <v>2009</v>
      </c>
      <c r="V107" t="s">
        <v>2024</v>
      </c>
      <c r="W107" t="s">
        <v>2015</v>
      </c>
      <c r="X107" t="s">
        <v>3042</v>
      </c>
    </row>
    <row r="108" spans="1:24" ht="16.95" customHeight="1" x14ac:dyDescent="0.3">
      <c r="A108" t="s">
        <v>881</v>
      </c>
      <c r="B108" t="s">
        <v>585</v>
      </c>
      <c r="C108" t="s">
        <v>586</v>
      </c>
      <c r="D108">
        <v>19.399999999999999</v>
      </c>
      <c r="F108">
        <v>54.5</v>
      </c>
      <c r="G108" s="11"/>
      <c r="H108" t="s">
        <v>383</v>
      </c>
      <c r="I108" t="s">
        <v>383</v>
      </c>
      <c r="J108" t="s">
        <v>383</v>
      </c>
      <c r="K108">
        <v>4</v>
      </c>
      <c r="L108">
        <v>22</v>
      </c>
      <c r="M108" t="s">
        <v>227</v>
      </c>
      <c r="N108" s="6" t="s">
        <v>2231</v>
      </c>
      <c r="R108">
        <v>4</v>
      </c>
      <c r="S108">
        <v>22</v>
      </c>
      <c r="T108" t="s">
        <v>1784</v>
      </c>
      <c r="U108" t="s">
        <v>2009</v>
      </c>
      <c r="V108" t="s">
        <v>2024</v>
      </c>
      <c r="W108" t="s">
        <v>2015</v>
      </c>
      <c r="X108" t="s">
        <v>3043</v>
      </c>
    </row>
    <row r="109" spans="1:24" x14ac:dyDescent="0.3">
      <c r="A109" t="s">
        <v>882</v>
      </c>
      <c r="B109" t="s">
        <v>3740</v>
      </c>
      <c r="D109">
        <v>48.848999999999997</v>
      </c>
      <c r="E109">
        <v>16037</v>
      </c>
      <c r="F109">
        <v>48</v>
      </c>
      <c r="G109" s="11"/>
      <c r="H109" t="s">
        <v>1746</v>
      </c>
      <c r="I109">
        <v>16399</v>
      </c>
      <c r="J109">
        <v>7576386</v>
      </c>
      <c r="K109">
        <v>-2</v>
      </c>
      <c r="L109">
        <v>28</v>
      </c>
      <c r="M109" t="s">
        <v>226</v>
      </c>
      <c r="N109" s="6" t="s">
        <v>2232</v>
      </c>
      <c r="R109">
        <v>-2</v>
      </c>
      <c r="S109">
        <v>28</v>
      </c>
      <c r="T109" t="s">
        <v>1785</v>
      </c>
      <c r="U109" t="s">
        <v>2009</v>
      </c>
      <c r="V109" t="s">
        <v>2024</v>
      </c>
      <c r="W109" t="s">
        <v>2016</v>
      </c>
      <c r="X109" t="s">
        <v>2039</v>
      </c>
    </row>
    <row r="110" spans="1:24" ht="15.6" customHeight="1" x14ac:dyDescent="0.3">
      <c r="A110" t="s">
        <v>883</v>
      </c>
      <c r="B110" t="s">
        <v>187</v>
      </c>
      <c r="D110">
        <v>28.155000000000001</v>
      </c>
      <c r="E110">
        <v>11754</v>
      </c>
      <c r="F110">
        <v>44.5</v>
      </c>
      <c r="G110" s="11"/>
      <c r="H110" t="s">
        <v>340</v>
      </c>
      <c r="I110">
        <v>11749</v>
      </c>
      <c r="J110">
        <v>5008765</v>
      </c>
      <c r="K110">
        <v>19</v>
      </c>
      <c r="L110">
        <v>55</v>
      </c>
      <c r="M110" t="s">
        <v>226</v>
      </c>
      <c r="N110" s="6" t="s">
        <v>2177</v>
      </c>
      <c r="Q110" t="s">
        <v>781</v>
      </c>
      <c r="R110">
        <v>19</v>
      </c>
      <c r="S110">
        <v>55</v>
      </c>
      <c r="T110" t="s">
        <v>1786</v>
      </c>
      <c r="U110" t="s">
        <v>2009</v>
      </c>
      <c r="V110" t="s">
        <v>2023</v>
      </c>
      <c r="W110" t="s">
        <v>2014</v>
      </c>
      <c r="X110" t="s">
        <v>3044</v>
      </c>
    </row>
    <row r="111" spans="1:24" x14ac:dyDescent="0.3">
      <c r="A111" t="s">
        <v>884</v>
      </c>
      <c r="B111" t="s">
        <v>82</v>
      </c>
      <c r="D111">
        <v>14.282</v>
      </c>
      <c r="E111">
        <v>6040</v>
      </c>
      <c r="F111">
        <v>33.6</v>
      </c>
      <c r="G111" s="11"/>
      <c r="H111" t="s">
        <v>1746</v>
      </c>
      <c r="I111">
        <v>6758</v>
      </c>
      <c r="J111">
        <v>3133270</v>
      </c>
      <c r="K111">
        <v>20</v>
      </c>
      <c r="L111">
        <v>44</v>
      </c>
      <c r="M111" t="s">
        <v>227</v>
      </c>
      <c r="N111" s="6" t="s">
        <v>2233</v>
      </c>
      <c r="R111">
        <v>20</v>
      </c>
      <c r="S111">
        <v>44</v>
      </c>
      <c r="T111" t="s">
        <v>1787</v>
      </c>
      <c r="U111" t="s">
        <v>2009</v>
      </c>
      <c r="V111" t="s">
        <v>2024</v>
      </c>
      <c r="W111" t="s">
        <v>2016</v>
      </c>
      <c r="X111" t="s">
        <v>3045</v>
      </c>
    </row>
    <row r="112" spans="1:24" ht="15.6" customHeight="1" x14ac:dyDescent="0.3">
      <c r="A112" t="s">
        <v>886</v>
      </c>
      <c r="B112" t="s">
        <v>436</v>
      </c>
      <c r="D112">
        <v>11.4558</v>
      </c>
      <c r="F112">
        <v>48.7</v>
      </c>
      <c r="G112" s="11"/>
      <c r="H112" t="s">
        <v>383</v>
      </c>
      <c r="I112" t="s">
        <v>383</v>
      </c>
      <c r="J112" t="s">
        <v>383</v>
      </c>
      <c r="K112">
        <v>0</v>
      </c>
      <c r="L112">
        <v>33</v>
      </c>
      <c r="M112" t="s">
        <v>227</v>
      </c>
      <c r="N112" s="6" t="s">
        <v>2234</v>
      </c>
      <c r="R112">
        <v>0</v>
      </c>
      <c r="S112">
        <v>33</v>
      </c>
      <c r="T112" t="s">
        <v>1788</v>
      </c>
      <c r="U112" t="s">
        <v>2009</v>
      </c>
      <c r="V112" t="s">
        <v>2024</v>
      </c>
      <c r="W112" t="s">
        <v>2016</v>
      </c>
      <c r="X112" t="s">
        <v>3045</v>
      </c>
    </row>
    <row r="113" spans="1:24" x14ac:dyDescent="0.3">
      <c r="A113" t="s">
        <v>888</v>
      </c>
      <c r="B113" t="s">
        <v>531</v>
      </c>
      <c r="D113">
        <v>11.5814</v>
      </c>
      <c r="F113">
        <v>39</v>
      </c>
      <c r="G113" s="11"/>
      <c r="H113" t="s">
        <v>383</v>
      </c>
      <c r="I113" t="s">
        <v>383</v>
      </c>
      <c r="J113" t="s">
        <v>383</v>
      </c>
      <c r="K113">
        <v>8</v>
      </c>
      <c r="L113">
        <v>28</v>
      </c>
      <c r="M113" t="s">
        <v>227</v>
      </c>
      <c r="N113" s="6" t="s">
        <v>2235</v>
      </c>
      <c r="R113">
        <v>8</v>
      </c>
      <c r="S113">
        <v>28</v>
      </c>
      <c r="T113" t="s">
        <v>1789</v>
      </c>
      <c r="U113" t="s">
        <v>2009</v>
      </c>
      <c r="V113" t="s">
        <v>2024</v>
      </c>
      <c r="W113" t="s">
        <v>2016</v>
      </c>
      <c r="X113" t="s">
        <v>3045</v>
      </c>
    </row>
    <row r="114" spans="1:24" ht="15.6" customHeight="1" x14ac:dyDescent="0.3">
      <c r="A114" t="s">
        <v>889</v>
      </c>
      <c r="B114" t="s">
        <v>233</v>
      </c>
      <c r="D114">
        <v>12.3682</v>
      </c>
      <c r="E114">
        <v>5419</v>
      </c>
      <c r="F114">
        <v>45.2</v>
      </c>
      <c r="G114" s="11"/>
      <c r="H114" t="s">
        <v>1746</v>
      </c>
      <c r="I114">
        <v>5409</v>
      </c>
      <c r="J114">
        <v>2694904</v>
      </c>
      <c r="K114">
        <v>25</v>
      </c>
      <c r="L114">
        <v>42</v>
      </c>
      <c r="M114" t="s">
        <v>226</v>
      </c>
      <c r="N114" s="6" t="s">
        <v>2236</v>
      </c>
      <c r="R114">
        <v>25</v>
      </c>
      <c r="S114">
        <v>42</v>
      </c>
      <c r="T114" t="s">
        <v>1790</v>
      </c>
      <c r="U114" t="s">
        <v>2009</v>
      </c>
      <c r="V114" t="s">
        <v>2024</v>
      </c>
      <c r="W114" t="s">
        <v>2016</v>
      </c>
      <c r="X114" t="s">
        <v>3045</v>
      </c>
    </row>
    <row r="115" spans="1:24" x14ac:dyDescent="0.3">
      <c r="A115" t="s">
        <v>890</v>
      </c>
      <c r="B115" t="s">
        <v>439</v>
      </c>
      <c r="D115">
        <v>12.230600000000001</v>
      </c>
      <c r="F115">
        <v>49.6</v>
      </c>
      <c r="G115" s="11"/>
      <c r="H115" t="s">
        <v>383</v>
      </c>
      <c r="I115" t="s">
        <v>383</v>
      </c>
      <c r="J115" t="s">
        <v>383</v>
      </c>
      <c r="K115">
        <v>0</v>
      </c>
      <c r="L115">
        <v>37</v>
      </c>
      <c r="M115" t="s">
        <v>227</v>
      </c>
      <c r="N115" s="6" t="s">
        <v>2234</v>
      </c>
      <c r="R115">
        <v>0</v>
      </c>
      <c r="S115">
        <v>37</v>
      </c>
      <c r="T115" t="s">
        <v>1791</v>
      </c>
      <c r="U115" t="s">
        <v>2009</v>
      </c>
      <c r="V115" t="s">
        <v>2024</v>
      </c>
      <c r="W115" t="s">
        <v>2016</v>
      </c>
      <c r="X115" t="s">
        <v>3045</v>
      </c>
    </row>
    <row r="116" spans="1:24" x14ac:dyDescent="0.3">
      <c r="A116" t="s">
        <v>891</v>
      </c>
      <c r="B116" t="s">
        <v>440</v>
      </c>
      <c r="D116">
        <v>12.833600000000001</v>
      </c>
      <c r="F116">
        <v>28.2</v>
      </c>
      <c r="G116" s="11"/>
      <c r="H116" t="s">
        <v>383</v>
      </c>
      <c r="I116" t="s">
        <v>383</v>
      </c>
      <c r="J116" t="s">
        <v>383</v>
      </c>
      <c r="K116">
        <v>4</v>
      </c>
      <c r="L116">
        <v>35</v>
      </c>
      <c r="M116" t="s">
        <v>227</v>
      </c>
      <c r="N116" s="6" t="s">
        <v>2234</v>
      </c>
      <c r="R116">
        <v>4</v>
      </c>
      <c r="S116">
        <v>35</v>
      </c>
      <c r="T116" t="s">
        <v>1789</v>
      </c>
      <c r="U116" t="s">
        <v>2009</v>
      </c>
      <c r="V116" t="s">
        <v>2024</v>
      </c>
      <c r="W116" t="s">
        <v>2016</v>
      </c>
      <c r="X116" t="s">
        <v>3045</v>
      </c>
    </row>
    <row r="117" spans="1:24" x14ac:dyDescent="0.3">
      <c r="A117" t="s">
        <v>892</v>
      </c>
      <c r="B117" t="s">
        <v>441</v>
      </c>
      <c r="D117">
        <v>16.0762</v>
      </c>
      <c r="F117">
        <v>23.9</v>
      </c>
      <c r="G117" s="11"/>
      <c r="H117" t="s">
        <v>383</v>
      </c>
      <c r="I117" t="s">
        <v>383</v>
      </c>
      <c r="J117" t="s">
        <v>383</v>
      </c>
      <c r="K117">
        <v>0</v>
      </c>
      <c r="L117">
        <v>35</v>
      </c>
      <c r="M117" t="s">
        <v>227</v>
      </c>
      <c r="N117" s="6" t="s">
        <v>2234</v>
      </c>
      <c r="R117">
        <v>0</v>
      </c>
      <c r="S117">
        <v>35</v>
      </c>
      <c r="T117" t="s">
        <v>1787</v>
      </c>
      <c r="U117" t="s">
        <v>2009</v>
      </c>
      <c r="V117" t="s">
        <v>2024</v>
      </c>
      <c r="W117" t="s">
        <v>2016</v>
      </c>
      <c r="X117" t="s">
        <v>3045</v>
      </c>
    </row>
    <row r="118" spans="1:24" x14ac:dyDescent="0.3">
      <c r="A118" t="s">
        <v>1328</v>
      </c>
      <c r="B118" t="s">
        <v>697</v>
      </c>
      <c r="D118">
        <v>19.277999999999999</v>
      </c>
      <c r="E118">
        <v>6230</v>
      </c>
      <c r="F118">
        <v>33</v>
      </c>
      <c r="G118" s="11"/>
      <c r="H118" t="s">
        <v>1746</v>
      </c>
      <c r="I118">
        <v>6988</v>
      </c>
      <c r="J118">
        <v>2821599</v>
      </c>
      <c r="K118">
        <v>3</v>
      </c>
      <c r="L118">
        <v>36</v>
      </c>
      <c r="M118" t="s">
        <v>226</v>
      </c>
      <c r="N118" s="6" t="s">
        <v>2237</v>
      </c>
      <c r="R118">
        <v>3</v>
      </c>
      <c r="S118">
        <v>36</v>
      </c>
      <c r="T118" t="s">
        <v>1792</v>
      </c>
      <c r="U118" t="s">
        <v>2009</v>
      </c>
      <c r="V118" t="s">
        <v>2024</v>
      </c>
      <c r="W118" t="s">
        <v>2016</v>
      </c>
      <c r="X118" t="s">
        <v>3045</v>
      </c>
    </row>
    <row r="119" spans="1:24" x14ac:dyDescent="0.3">
      <c r="A119" t="s">
        <v>898</v>
      </c>
      <c r="B119" t="s">
        <v>450</v>
      </c>
      <c r="D119">
        <v>10.8376</v>
      </c>
      <c r="F119">
        <v>43.5</v>
      </c>
      <c r="G119" s="11"/>
      <c r="H119" t="s">
        <v>383</v>
      </c>
      <c r="I119" t="s">
        <v>383</v>
      </c>
      <c r="J119" t="s">
        <v>383</v>
      </c>
      <c r="K119">
        <v>0</v>
      </c>
      <c r="L119">
        <v>30</v>
      </c>
      <c r="M119" t="s">
        <v>227</v>
      </c>
      <c r="N119" s="6" t="s">
        <v>2234</v>
      </c>
      <c r="R119">
        <v>0</v>
      </c>
      <c r="S119">
        <v>30</v>
      </c>
      <c r="T119" t="s">
        <v>1789</v>
      </c>
      <c r="U119" t="s">
        <v>2009</v>
      </c>
      <c r="V119" t="s">
        <v>2024</v>
      </c>
      <c r="W119" t="s">
        <v>2016</v>
      </c>
      <c r="X119" t="s">
        <v>3045</v>
      </c>
    </row>
    <row r="120" spans="1:24" x14ac:dyDescent="0.3">
      <c r="A120" t="s">
        <v>902</v>
      </c>
      <c r="B120" t="s">
        <v>457</v>
      </c>
      <c r="D120">
        <v>15.655099999999999</v>
      </c>
      <c r="F120">
        <v>34.299999999999997</v>
      </c>
      <c r="G120" s="11"/>
      <c r="H120" t="s">
        <v>383</v>
      </c>
      <c r="I120" t="s">
        <v>383</v>
      </c>
      <c r="J120" t="s">
        <v>383</v>
      </c>
      <c r="K120">
        <v>4</v>
      </c>
      <c r="L120">
        <v>35</v>
      </c>
      <c r="M120" t="s">
        <v>227</v>
      </c>
      <c r="N120" s="6" t="s">
        <v>2234</v>
      </c>
      <c r="R120">
        <v>4</v>
      </c>
      <c r="S120">
        <v>35</v>
      </c>
      <c r="T120" t="s">
        <v>1787</v>
      </c>
      <c r="U120" t="s">
        <v>2009</v>
      </c>
      <c r="V120" t="s">
        <v>2024</v>
      </c>
      <c r="W120" t="s">
        <v>2016</v>
      </c>
      <c r="X120" t="s">
        <v>3045</v>
      </c>
    </row>
    <row r="121" spans="1:24" x14ac:dyDescent="0.3">
      <c r="A121" t="s">
        <v>908</v>
      </c>
      <c r="B121" t="s">
        <v>172</v>
      </c>
      <c r="D121">
        <v>12.8263</v>
      </c>
      <c r="E121">
        <v>5734</v>
      </c>
      <c r="F121">
        <v>34.200000000000003</v>
      </c>
      <c r="G121" s="8" t="s">
        <v>2073</v>
      </c>
      <c r="H121" t="s">
        <v>1746</v>
      </c>
      <c r="I121">
        <v>5976</v>
      </c>
      <c r="J121">
        <v>2856021</v>
      </c>
      <c r="K121">
        <v>6</v>
      </c>
      <c r="L121">
        <v>42</v>
      </c>
      <c r="M121" t="s">
        <v>227</v>
      </c>
      <c r="N121" s="6" t="s">
        <v>2238</v>
      </c>
      <c r="R121">
        <v>6</v>
      </c>
      <c r="S121">
        <v>42</v>
      </c>
      <c r="T121" t="s">
        <v>1787</v>
      </c>
      <c r="U121" t="s">
        <v>2009</v>
      </c>
      <c r="V121" t="s">
        <v>2024</v>
      </c>
      <c r="W121" t="s">
        <v>2016</v>
      </c>
      <c r="X121" t="s">
        <v>3045</v>
      </c>
    </row>
    <row r="122" spans="1:24" x14ac:dyDescent="0.3">
      <c r="A122" t="s">
        <v>909</v>
      </c>
      <c r="B122" t="s">
        <v>466</v>
      </c>
      <c r="D122">
        <v>11.394399999999999</v>
      </c>
      <c r="F122">
        <v>34.5</v>
      </c>
      <c r="G122" s="11"/>
      <c r="H122" t="s">
        <v>383</v>
      </c>
      <c r="I122" t="s">
        <v>383</v>
      </c>
      <c r="J122" t="s">
        <v>383</v>
      </c>
      <c r="K122">
        <v>4</v>
      </c>
      <c r="L122">
        <v>40</v>
      </c>
      <c r="M122" t="s">
        <v>227</v>
      </c>
      <c r="N122" s="6" t="s">
        <v>2234</v>
      </c>
      <c r="R122">
        <v>4</v>
      </c>
      <c r="S122">
        <v>40</v>
      </c>
      <c r="T122" t="s">
        <v>1789</v>
      </c>
      <c r="U122" t="s">
        <v>2009</v>
      </c>
      <c r="V122" t="s">
        <v>2024</v>
      </c>
      <c r="W122" t="s">
        <v>2016</v>
      </c>
      <c r="X122" t="s">
        <v>3045</v>
      </c>
    </row>
    <row r="123" spans="1:24" ht="15.6" customHeight="1" x14ac:dyDescent="0.3">
      <c r="A123" t="s">
        <v>913</v>
      </c>
      <c r="B123" t="s">
        <v>129</v>
      </c>
      <c r="D123">
        <v>13.03</v>
      </c>
      <c r="E123">
        <v>5810</v>
      </c>
      <c r="F123">
        <v>38.6</v>
      </c>
      <c r="G123" s="11"/>
      <c r="H123" t="s">
        <v>1746</v>
      </c>
      <c r="I123">
        <v>5777</v>
      </c>
      <c r="J123">
        <v>2913513</v>
      </c>
      <c r="K123">
        <v>28</v>
      </c>
      <c r="L123">
        <v>47</v>
      </c>
      <c r="M123" t="s">
        <v>226</v>
      </c>
      <c r="N123" s="6" t="s">
        <v>2239</v>
      </c>
      <c r="R123">
        <v>28</v>
      </c>
      <c r="S123">
        <v>47</v>
      </c>
      <c r="T123" t="s">
        <v>1787</v>
      </c>
      <c r="U123" t="s">
        <v>2009</v>
      </c>
      <c r="V123" t="s">
        <v>2024</v>
      </c>
      <c r="W123" t="s">
        <v>2016</v>
      </c>
      <c r="X123" t="s">
        <v>3045</v>
      </c>
    </row>
    <row r="124" spans="1:24" x14ac:dyDescent="0.3">
      <c r="A124" t="s">
        <v>916</v>
      </c>
      <c r="B124" t="s">
        <v>477</v>
      </c>
      <c r="D124">
        <v>12.386699999999999</v>
      </c>
      <c r="F124">
        <v>38.299999999999997</v>
      </c>
      <c r="G124" s="11"/>
      <c r="H124" t="s">
        <v>383</v>
      </c>
      <c r="I124" t="s">
        <v>383</v>
      </c>
      <c r="J124" t="s">
        <v>383</v>
      </c>
      <c r="K124">
        <v>0</v>
      </c>
      <c r="L124">
        <v>35</v>
      </c>
      <c r="M124" t="s">
        <v>227</v>
      </c>
      <c r="N124" s="6" t="s">
        <v>2234</v>
      </c>
      <c r="R124">
        <v>0</v>
      </c>
      <c r="S124">
        <v>35</v>
      </c>
      <c r="T124" t="s">
        <v>1793</v>
      </c>
      <c r="U124" t="s">
        <v>2009</v>
      </c>
      <c r="V124" t="s">
        <v>2024</v>
      </c>
      <c r="W124" t="s">
        <v>2016</v>
      </c>
      <c r="X124" t="s">
        <v>3045</v>
      </c>
    </row>
    <row r="125" spans="1:24" x14ac:dyDescent="0.3">
      <c r="A125" t="s">
        <v>919</v>
      </c>
      <c r="B125" t="s">
        <v>478</v>
      </c>
      <c r="D125">
        <v>12.770799999999999</v>
      </c>
      <c r="F125">
        <v>27.3</v>
      </c>
      <c r="G125" s="11"/>
      <c r="H125" t="s">
        <v>383</v>
      </c>
      <c r="I125" t="s">
        <v>383</v>
      </c>
      <c r="J125" t="s">
        <v>383</v>
      </c>
      <c r="K125">
        <v>0</v>
      </c>
      <c r="L125">
        <v>30</v>
      </c>
      <c r="M125" t="s">
        <v>227</v>
      </c>
      <c r="N125" s="6" t="s">
        <v>2234</v>
      </c>
      <c r="R125">
        <v>0</v>
      </c>
      <c r="S125">
        <v>30</v>
      </c>
      <c r="T125" t="s">
        <v>1792</v>
      </c>
      <c r="U125" t="s">
        <v>2009</v>
      </c>
      <c r="V125" t="s">
        <v>2024</v>
      </c>
      <c r="W125" t="s">
        <v>2016</v>
      </c>
      <c r="X125" t="s">
        <v>3045</v>
      </c>
    </row>
    <row r="126" spans="1:24" x14ac:dyDescent="0.3">
      <c r="A126" t="s">
        <v>923</v>
      </c>
      <c r="B126" t="s">
        <v>163</v>
      </c>
      <c r="D126">
        <v>14.609</v>
      </c>
      <c r="E126">
        <v>6134</v>
      </c>
      <c r="F126">
        <v>32.5</v>
      </c>
      <c r="G126" s="11"/>
      <c r="H126" t="s">
        <v>1746</v>
      </c>
      <c r="I126">
        <v>6226</v>
      </c>
      <c r="J126">
        <v>3018650</v>
      </c>
      <c r="K126">
        <v>15</v>
      </c>
      <c r="L126">
        <v>42</v>
      </c>
      <c r="M126" t="s">
        <v>227</v>
      </c>
      <c r="N126" s="6" t="s">
        <v>2233</v>
      </c>
      <c r="R126">
        <v>15</v>
      </c>
      <c r="S126">
        <v>42</v>
      </c>
      <c r="T126" t="s">
        <v>1787</v>
      </c>
      <c r="U126" t="s">
        <v>2009</v>
      </c>
      <c r="V126" t="s">
        <v>2024</v>
      </c>
      <c r="W126" t="s">
        <v>2016</v>
      </c>
      <c r="X126" t="s">
        <v>3045</v>
      </c>
    </row>
    <row r="127" spans="1:24" x14ac:dyDescent="0.3">
      <c r="A127" t="s">
        <v>924</v>
      </c>
      <c r="B127" t="s">
        <v>180</v>
      </c>
      <c r="D127">
        <v>24.17</v>
      </c>
      <c r="E127">
        <v>10841</v>
      </c>
      <c r="F127">
        <v>44.7</v>
      </c>
      <c r="G127" s="11"/>
      <c r="H127" t="s">
        <v>1746</v>
      </c>
      <c r="I127">
        <v>10576</v>
      </c>
      <c r="J127">
        <v>5109780</v>
      </c>
      <c r="K127">
        <v>10</v>
      </c>
      <c r="L127">
        <v>37</v>
      </c>
      <c r="M127" t="s">
        <v>226</v>
      </c>
      <c r="N127" s="6" t="s">
        <v>2233</v>
      </c>
      <c r="R127">
        <v>10</v>
      </c>
      <c r="S127">
        <v>37</v>
      </c>
      <c r="T127" t="s">
        <v>1787</v>
      </c>
      <c r="U127" t="s">
        <v>2009</v>
      </c>
      <c r="V127" t="s">
        <v>2024</v>
      </c>
      <c r="W127" t="s">
        <v>2016</v>
      </c>
      <c r="X127" t="s">
        <v>3045</v>
      </c>
    </row>
    <row r="128" spans="1:24" ht="14.4" customHeight="1" x14ac:dyDescent="0.3">
      <c r="A128" t="s">
        <v>927</v>
      </c>
      <c r="B128" t="s">
        <v>316</v>
      </c>
      <c r="D128">
        <v>62</v>
      </c>
      <c r="E128">
        <v>24466</v>
      </c>
      <c r="F128">
        <v>51.33</v>
      </c>
      <c r="G128" s="11"/>
      <c r="H128" t="s">
        <v>383</v>
      </c>
      <c r="I128" t="s">
        <v>383</v>
      </c>
      <c r="J128" t="s">
        <v>383</v>
      </c>
      <c r="K128">
        <v>7</v>
      </c>
      <c r="L128">
        <v>30</v>
      </c>
      <c r="M128" t="s">
        <v>226</v>
      </c>
      <c r="N128" s="6" t="s">
        <v>2240</v>
      </c>
      <c r="R128">
        <v>7</v>
      </c>
      <c r="S128">
        <v>30</v>
      </c>
      <c r="T128" t="s">
        <v>1794</v>
      </c>
      <c r="U128" t="s">
        <v>2009</v>
      </c>
      <c r="V128" t="s">
        <v>2024</v>
      </c>
      <c r="W128" t="s">
        <v>2015</v>
      </c>
      <c r="X128" t="s">
        <v>3039</v>
      </c>
    </row>
    <row r="129" spans="1:24" x14ac:dyDescent="0.3">
      <c r="A129" t="s">
        <v>1329</v>
      </c>
      <c r="B129" t="s">
        <v>698</v>
      </c>
      <c r="C129" t="s">
        <v>775</v>
      </c>
      <c r="D129">
        <v>25.806999999999999</v>
      </c>
      <c r="E129">
        <v>9231</v>
      </c>
      <c r="F129">
        <v>53</v>
      </c>
      <c r="G129" s="11"/>
      <c r="H129" t="s">
        <v>1746</v>
      </c>
      <c r="I129">
        <v>9230</v>
      </c>
      <c r="J129">
        <v>4650262</v>
      </c>
      <c r="K129">
        <v>4</v>
      </c>
      <c r="L129">
        <v>33</v>
      </c>
      <c r="M129" t="s">
        <v>227</v>
      </c>
      <c r="N129" s="6" t="s">
        <v>2241</v>
      </c>
      <c r="R129">
        <v>4</v>
      </c>
      <c r="S129">
        <v>33</v>
      </c>
      <c r="T129" t="s">
        <v>1795</v>
      </c>
      <c r="U129" t="s">
        <v>2009</v>
      </c>
      <c r="V129" t="s">
        <v>2024</v>
      </c>
      <c r="W129" t="s">
        <v>2016</v>
      </c>
      <c r="X129" t="s">
        <v>2039</v>
      </c>
    </row>
    <row r="130" spans="1:24" ht="18" customHeight="1" x14ac:dyDescent="0.3">
      <c r="A130" t="s">
        <v>928</v>
      </c>
      <c r="B130" t="s">
        <v>122</v>
      </c>
      <c r="D130">
        <v>41.337499999999999</v>
      </c>
      <c r="E130">
        <v>12804</v>
      </c>
      <c r="F130">
        <v>56</v>
      </c>
      <c r="G130" s="11"/>
      <c r="H130" t="s">
        <v>1746</v>
      </c>
      <c r="I130">
        <v>12590</v>
      </c>
      <c r="J130">
        <v>4925579</v>
      </c>
      <c r="K130">
        <v>13</v>
      </c>
      <c r="L130">
        <v>37</v>
      </c>
      <c r="M130" t="s">
        <v>226</v>
      </c>
      <c r="N130" s="6" t="s">
        <v>2242</v>
      </c>
      <c r="R130">
        <v>13</v>
      </c>
      <c r="S130">
        <v>37</v>
      </c>
      <c r="T130" t="s">
        <v>1796</v>
      </c>
      <c r="U130" t="s">
        <v>2009</v>
      </c>
      <c r="V130" t="s">
        <v>2023</v>
      </c>
      <c r="W130" t="s">
        <v>2018</v>
      </c>
      <c r="X130" t="s">
        <v>3040</v>
      </c>
    </row>
    <row r="131" spans="1:24" x14ac:dyDescent="0.3">
      <c r="A131" t="s">
        <v>929</v>
      </c>
      <c r="B131" t="s">
        <v>422</v>
      </c>
      <c r="C131" t="s">
        <v>430</v>
      </c>
      <c r="D131">
        <v>177.55699999999999</v>
      </c>
      <c r="E131">
        <v>14748</v>
      </c>
      <c r="F131">
        <v>37.5</v>
      </c>
      <c r="G131" s="11"/>
      <c r="H131" t="s">
        <v>383</v>
      </c>
      <c r="I131" t="s">
        <v>383</v>
      </c>
      <c r="J131" t="s">
        <v>383</v>
      </c>
      <c r="K131">
        <v>9</v>
      </c>
      <c r="L131">
        <v>30</v>
      </c>
      <c r="M131" t="s">
        <v>226</v>
      </c>
      <c r="N131" s="6" t="s">
        <v>2176</v>
      </c>
      <c r="R131">
        <v>9</v>
      </c>
      <c r="S131">
        <v>30</v>
      </c>
      <c r="T131" t="s">
        <v>2006</v>
      </c>
      <c r="U131" t="s">
        <v>2009</v>
      </c>
      <c r="V131" t="s">
        <v>2024</v>
      </c>
      <c r="W131" t="s">
        <v>2016</v>
      </c>
      <c r="X131" t="s">
        <v>2039</v>
      </c>
    </row>
    <row r="132" spans="1:24" x14ac:dyDescent="0.3">
      <c r="A132" t="s">
        <v>930</v>
      </c>
      <c r="B132" t="s">
        <v>3741</v>
      </c>
      <c r="D132">
        <v>29.8</v>
      </c>
      <c r="E132">
        <v>7551</v>
      </c>
      <c r="F132">
        <v>48</v>
      </c>
      <c r="G132" s="8" t="s">
        <v>2074</v>
      </c>
      <c r="H132" t="s">
        <v>1746</v>
      </c>
      <c r="I132">
        <v>7264</v>
      </c>
      <c r="J132">
        <v>3783215</v>
      </c>
      <c r="M132" t="s">
        <v>1691</v>
      </c>
      <c r="N132" s="6" t="s">
        <v>2168</v>
      </c>
      <c r="O132">
        <v>9.5</v>
      </c>
      <c r="P132">
        <v>35.25</v>
      </c>
      <c r="Q132">
        <v>28</v>
      </c>
      <c r="R132">
        <v>9.5</v>
      </c>
      <c r="S132">
        <v>35.25</v>
      </c>
      <c r="T132" t="s">
        <v>605</v>
      </c>
      <c r="U132" t="s">
        <v>2009</v>
      </c>
      <c r="V132" t="s">
        <v>2024</v>
      </c>
      <c r="W132" t="s">
        <v>2016</v>
      </c>
      <c r="X132" t="s">
        <v>2039</v>
      </c>
    </row>
    <row r="133" spans="1:24" ht="15.6" customHeight="1" x14ac:dyDescent="0.3">
      <c r="A133" t="s">
        <v>1098</v>
      </c>
      <c r="B133" t="s">
        <v>556</v>
      </c>
      <c r="D133">
        <v>27.1</v>
      </c>
      <c r="F133">
        <v>55</v>
      </c>
      <c r="G133" s="11"/>
      <c r="H133" t="s">
        <v>383</v>
      </c>
      <c r="I133" t="s">
        <v>383</v>
      </c>
      <c r="J133" t="s">
        <v>383</v>
      </c>
      <c r="K133">
        <v>6</v>
      </c>
      <c r="L133">
        <v>34</v>
      </c>
      <c r="M133" t="s">
        <v>228</v>
      </c>
      <c r="N133" s="6" t="s">
        <v>2243</v>
      </c>
      <c r="R133">
        <v>6</v>
      </c>
      <c r="S133">
        <v>34</v>
      </c>
      <c r="T133" t="s">
        <v>1797</v>
      </c>
      <c r="U133" t="s">
        <v>2009</v>
      </c>
      <c r="V133" t="s">
        <v>2024</v>
      </c>
      <c r="W133" t="s">
        <v>2016</v>
      </c>
      <c r="X133" t="s">
        <v>2039</v>
      </c>
    </row>
    <row r="134" spans="1:24" x14ac:dyDescent="0.3">
      <c r="A134" t="s">
        <v>1444</v>
      </c>
      <c r="B134" t="s">
        <v>3742</v>
      </c>
      <c r="C134" t="s">
        <v>1443</v>
      </c>
      <c r="D134">
        <v>33.692999999999998</v>
      </c>
      <c r="E134">
        <v>6931</v>
      </c>
      <c r="F134">
        <v>51</v>
      </c>
      <c r="G134" s="8" t="s">
        <v>2075</v>
      </c>
      <c r="H134" t="s">
        <v>383</v>
      </c>
      <c r="I134" t="s">
        <v>383</v>
      </c>
      <c r="J134" t="s">
        <v>383</v>
      </c>
      <c r="M134" t="s">
        <v>1691</v>
      </c>
      <c r="N134" s="6" t="s">
        <v>2168</v>
      </c>
      <c r="O134">
        <v>5.5</v>
      </c>
      <c r="P134">
        <v>36</v>
      </c>
      <c r="Q134">
        <v>20</v>
      </c>
      <c r="R134">
        <v>5.5</v>
      </c>
      <c r="S134">
        <v>36</v>
      </c>
      <c r="T134" t="s">
        <v>668</v>
      </c>
      <c r="U134" t="s">
        <v>2009</v>
      </c>
      <c r="V134" t="s">
        <v>2024</v>
      </c>
      <c r="W134" t="s">
        <v>2016</v>
      </c>
      <c r="X134" t="s">
        <v>2039</v>
      </c>
    </row>
    <row r="135" spans="1:24" x14ac:dyDescent="0.3">
      <c r="A135" t="s">
        <v>1370</v>
      </c>
      <c r="B135" t="s">
        <v>1400</v>
      </c>
      <c r="D135">
        <f>AVERAGE(32.082,32.84)</f>
        <v>32.460999999999999</v>
      </c>
      <c r="E135">
        <f>AVERAGE(8857,8884)</f>
        <v>8870.5</v>
      </c>
      <c r="F135">
        <v>52.5</v>
      </c>
      <c r="G135" s="11"/>
      <c r="H135" t="s">
        <v>1746</v>
      </c>
      <c r="I135">
        <v>8878</v>
      </c>
      <c r="J135">
        <v>4937363</v>
      </c>
      <c r="K135">
        <v>10</v>
      </c>
      <c r="L135">
        <v>34</v>
      </c>
      <c r="M135" t="s">
        <v>226</v>
      </c>
      <c r="N135" s="6" t="s">
        <v>2244</v>
      </c>
      <c r="O135">
        <v>2.5</v>
      </c>
      <c r="P135">
        <v>36</v>
      </c>
      <c r="Q135">
        <v>9</v>
      </c>
      <c r="R135">
        <v>2.5</v>
      </c>
      <c r="S135">
        <v>36</v>
      </c>
      <c r="T135" t="s">
        <v>668</v>
      </c>
      <c r="U135" t="s">
        <v>2009</v>
      </c>
      <c r="V135" t="s">
        <v>2024</v>
      </c>
      <c r="W135" t="s">
        <v>2016</v>
      </c>
      <c r="X135" t="s">
        <v>2039</v>
      </c>
    </row>
    <row r="136" spans="1:24" x14ac:dyDescent="0.3">
      <c r="A136" t="s">
        <v>1446</v>
      </c>
      <c r="B136" t="s">
        <v>3743</v>
      </c>
      <c r="D136">
        <v>34.799999999999997</v>
      </c>
      <c r="E136">
        <v>12631</v>
      </c>
      <c r="F136">
        <v>51.5</v>
      </c>
      <c r="G136" s="8" t="s">
        <v>2076</v>
      </c>
      <c r="H136" t="s">
        <v>383</v>
      </c>
      <c r="I136" t="s">
        <v>383</v>
      </c>
      <c r="J136" t="s">
        <v>383</v>
      </c>
      <c r="M136" t="s">
        <v>1691</v>
      </c>
      <c r="N136" s="6" t="s">
        <v>2168</v>
      </c>
      <c r="O136">
        <v>10</v>
      </c>
      <c r="P136">
        <v>35</v>
      </c>
      <c r="Q136">
        <v>5</v>
      </c>
      <c r="R136">
        <v>10</v>
      </c>
      <c r="S136">
        <v>35</v>
      </c>
      <c r="T136" t="s">
        <v>606</v>
      </c>
      <c r="U136" t="s">
        <v>2009</v>
      </c>
      <c r="V136" t="s">
        <v>2024</v>
      </c>
      <c r="W136" t="s">
        <v>2016</v>
      </c>
      <c r="X136" t="s">
        <v>2039</v>
      </c>
    </row>
    <row r="137" spans="1:24" x14ac:dyDescent="0.3">
      <c r="A137" t="s">
        <v>1448</v>
      </c>
      <c r="B137" t="s">
        <v>3744</v>
      </c>
      <c r="D137">
        <v>37</v>
      </c>
      <c r="E137">
        <v>12281</v>
      </c>
      <c r="F137">
        <v>51</v>
      </c>
      <c r="G137" s="11"/>
      <c r="H137" t="s">
        <v>340</v>
      </c>
      <c r="I137">
        <v>13144</v>
      </c>
      <c r="J137">
        <v>6148248</v>
      </c>
      <c r="M137" t="s">
        <v>1691</v>
      </c>
      <c r="N137" s="6" t="s">
        <v>2168</v>
      </c>
      <c r="O137">
        <v>2.5</v>
      </c>
      <c r="P137">
        <v>37.799999999999997</v>
      </c>
      <c r="Q137">
        <v>26</v>
      </c>
      <c r="R137">
        <v>2.5</v>
      </c>
      <c r="S137">
        <v>37.799999999999997</v>
      </c>
      <c r="T137" t="s">
        <v>606</v>
      </c>
      <c r="U137" t="s">
        <v>2009</v>
      </c>
      <c r="V137" t="s">
        <v>2024</v>
      </c>
      <c r="W137" t="s">
        <v>2016</v>
      </c>
      <c r="X137" t="s">
        <v>2039</v>
      </c>
    </row>
    <row r="138" spans="1:24" x14ac:dyDescent="0.3">
      <c r="A138" t="s">
        <v>1697</v>
      </c>
      <c r="B138" t="s">
        <v>1729</v>
      </c>
      <c r="D138">
        <v>46.6</v>
      </c>
      <c r="E138">
        <v>12107</v>
      </c>
      <c r="F138">
        <v>48.5</v>
      </c>
      <c r="G138" s="11"/>
      <c r="H138" t="s">
        <v>1746</v>
      </c>
      <c r="I138">
        <v>12005</v>
      </c>
      <c r="J138">
        <v>5033716</v>
      </c>
      <c r="K138">
        <v>6</v>
      </c>
      <c r="L138">
        <v>35</v>
      </c>
      <c r="M138" t="s">
        <v>264</v>
      </c>
      <c r="N138" s="6" t="s">
        <v>2245</v>
      </c>
      <c r="R138">
        <v>6</v>
      </c>
      <c r="S138">
        <v>35</v>
      </c>
      <c r="T138" t="s">
        <v>606</v>
      </c>
      <c r="U138" t="s">
        <v>2009</v>
      </c>
      <c r="V138" t="s">
        <v>2024</v>
      </c>
      <c r="W138" t="s">
        <v>2016</v>
      </c>
      <c r="X138" t="s">
        <v>2039</v>
      </c>
    </row>
    <row r="139" spans="1:24" x14ac:dyDescent="0.3">
      <c r="A139" t="s">
        <v>1008</v>
      </c>
      <c r="B139" t="s">
        <v>43</v>
      </c>
      <c r="C139" t="s">
        <v>753</v>
      </c>
      <c r="D139">
        <v>38.969700000000003</v>
      </c>
      <c r="E139">
        <v>12125</v>
      </c>
      <c r="F139">
        <v>53.6</v>
      </c>
      <c r="G139" s="11"/>
      <c r="H139" t="s">
        <v>1746</v>
      </c>
      <c r="I139">
        <v>12077</v>
      </c>
      <c r="J139">
        <v>5146860</v>
      </c>
      <c r="K139">
        <v>15</v>
      </c>
      <c r="L139">
        <v>39</v>
      </c>
      <c r="M139" t="s">
        <v>226</v>
      </c>
      <c r="N139" s="6" t="s">
        <v>2246</v>
      </c>
      <c r="O139" s="14"/>
      <c r="P139" s="14"/>
      <c r="R139">
        <v>15</v>
      </c>
      <c r="S139">
        <v>39</v>
      </c>
      <c r="T139" t="s">
        <v>1798</v>
      </c>
      <c r="U139" t="s">
        <v>2009</v>
      </c>
      <c r="V139" t="s">
        <v>2024</v>
      </c>
      <c r="W139" t="s">
        <v>2015</v>
      </c>
      <c r="X139" t="s">
        <v>3039</v>
      </c>
    </row>
    <row r="140" spans="1:24" x14ac:dyDescent="0.3">
      <c r="A140" t="s">
        <v>931</v>
      </c>
      <c r="B140" t="s">
        <v>28</v>
      </c>
      <c r="D140">
        <f>AVERAGE(34.154,34.886)</f>
        <v>34.520000000000003</v>
      </c>
      <c r="E140">
        <f>AVERAGE(11569,11124)</f>
        <v>11346.5</v>
      </c>
      <c r="F140">
        <v>56.1</v>
      </c>
      <c r="G140" s="11"/>
      <c r="H140" t="s">
        <v>1746</v>
      </c>
      <c r="I140">
        <v>11038</v>
      </c>
      <c r="J140">
        <v>5474777</v>
      </c>
      <c r="K140">
        <v>9</v>
      </c>
      <c r="L140">
        <v>39</v>
      </c>
      <c r="M140" t="s">
        <v>226</v>
      </c>
      <c r="N140" s="6" t="s">
        <v>2247</v>
      </c>
      <c r="R140">
        <v>9</v>
      </c>
      <c r="S140">
        <v>39</v>
      </c>
      <c r="T140" t="s">
        <v>1799</v>
      </c>
      <c r="U140" t="s">
        <v>2009</v>
      </c>
      <c r="V140" t="s">
        <v>2024</v>
      </c>
      <c r="W140" t="s">
        <v>2016</v>
      </c>
      <c r="X140" t="s">
        <v>2039</v>
      </c>
    </row>
    <row r="141" spans="1:24" x14ac:dyDescent="0.3">
      <c r="A141" t="s">
        <v>932</v>
      </c>
      <c r="B141" t="s">
        <v>293</v>
      </c>
      <c r="D141">
        <v>33.947000000000003</v>
      </c>
      <c r="E141">
        <v>11709</v>
      </c>
      <c r="F141">
        <v>56.5</v>
      </c>
      <c r="G141" s="11"/>
      <c r="H141" t="s">
        <v>340</v>
      </c>
      <c r="I141">
        <v>11706</v>
      </c>
      <c r="J141">
        <v>5031475</v>
      </c>
      <c r="K141">
        <v>15</v>
      </c>
      <c r="L141">
        <v>48</v>
      </c>
      <c r="M141" t="s">
        <v>227</v>
      </c>
      <c r="N141" s="6" t="s">
        <v>2248</v>
      </c>
      <c r="R141">
        <v>15</v>
      </c>
      <c r="S141">
        <v>48</v>
      </c>
      <c r="T141" t="s">
        <v>1799</v>
      </c>
      <c r="U141" t="s">
        <v>2009</v>
      </c>
      <c r="V141" t="s">
        <v>2024</v>
      </c>
      <c r="W141" t="s">
        <v>2016</v>
      </c>
      <c r="X141" t="s">
        <v>2039</v>
      </c>
    </row>
    <row r="142" spans="1:24" x14ac:dyDescent="0.3">
      <c r="A142" t="s">
        <v>1330</v>
      </c>
      <c r="B142" t="s">
        <v>3745</v>
      </c>
      <c r="D142">
        <v>35.107999999999997</v>
      </c>
      <c r="E142">
        <v>11534</v>
      </c>
      <c r="F142">
        <v>38</v>
      </c>
      <c r="G142" s="11"/>
      <c r="H142" t="s">
        <v>1746</v>
      </c>
      <c r="I142">
        <v>11924</v>
      </c>
      <c r="J142">
        <v>4748132</v>
      </c>
      <c r="M142" t="s">
        <v>1691</v>
      </c>
      <c r="N142" s="6" t="s">
        <v>2168</v>
      </c>
      <c r="O142">
        <v>9</v>
      </c>
      <c r="P142">
        <v>35</v>
      </c>
      <c r="Q142">
        <v>6</v>
      </c>
      <c r="R142">
        <v>9</v>
      </c>
      <c r="S142">
        <v>35</v>
      </c>
      <c r="T142" t="s">
        <v>607</v>
      </c>
      <c r="U142" t="s">
        <v>2009</v>
      </c>
      <c r="V142" t="s">
        <v>2023</v>
      </c>
      <c r="W142" t="s">
        <v>2014</v>
      </c>
      <c r="X142" t="s">
        <v>3037</v>
      </c>
    </row>
    <row r="143" spans="1:24" ht="15.6" customHeight="1" x14ac:dyDescent="0.3">
      <c r="A143" t="s">
        <v>1451</v>
      </c>
      <c r="B143" t="s">
        <v>3746</v>
      </c>
      <c r="D143">
        <v>41.3</v>
      </c>
      <c r="E143">
        <v>13739</v>
      </c>
      <c r="F143">
        <v>47.5</v>
      </c>
      <c r="G143" s="8" t="s">
        <v>2077</v>
      </c>
      <c r="H143" t="s">
        <v>383</v>
      </c>
      <c r="I143" t="s">
        <v>383</v>
      </c>
      <c r="J143" t="s">
        <v>383</v>
      </c>
      <c r="M143" t="s">
        <v>1691</v>
      </c>
      <c r="N143" s="6" t="s">
        <v>2168</v>
      </c>
      <c r="O143">
        <v>5</v>
      </c>
      <c r="P143">
        <v>35</v>
      </c>
      <c r="Q143">
        <v>3</v>
      </c>
      <c r="R143">
        <v>5</v>
      </c>
      <c r="S143">
        <v>35</v>
      </c>
      <c r="T143" t="s">
        <v>1800</v>
      </c>
      <c r="U143" t="s">
        <v>2009</v>
      </c>
      <c r="V143" t="s">
        <v>2024</v>
      </c>
      <c r="W143" t="s">
        <v>2015</v>
      </c>
      <c r="X143" t="s">
        <v>3039</v>
      </c>
    </row>
    <row r="144" spans="1:24" x14ac:dyDescent="0.3">
      <c r="A144" t="s">
        <v>934</v>
      </c>
      <c r="B144" t="s">
        <v>544</v>
      </c>
      <c r="D144">
        <v>36.722000000000001</v>
      </c>
      <c r="E144">
        <v>12762</v>
      </c>
      <c r="F144">
        <v>51.5</v>
      </c>
      <c r="G144" s="11"/>
      <c r="H144" t="s">
        <v>340</v>
      </c>
      <c r="I144">
        <v>12762</v>
      </c>
      <c r="J144">
        <v>6070213</v>
      </c>
      <c r="K144">
        <v>17</v>
      </c>
      <c r="L144">
        <v>45</v>
      </c>
      <c r="M144" t="s">
        <v>226</v>
      </c>
      <c r="N144" s="6" t="s">
        <v>2249</v>
      </c>
      <c r="O144" s="9"/>
      <c r="P144" s="9"/>
      <c r="R144">
        <v>17</v>
      </c>
      <c r="S144">
        <v>45</v>
      </c>
      <c r="T144" t="s">
        <v>608</v>
      </c>
      <c r="U144" t="s">
        <v>2009</v>
      </c>
      <c r="V144" t="s">
        <v>2024</v>
      </c>
      <c r="W144" t="s">
        <v>2016</v>
      </c>
      <c r="X144" t="s">
        <v>2039</v>
      </c>
    </row>
    <row r="145" spans="1:24" x14ac:dyDescent="0.3">
      <c r="A145" t="s">
        <v>935</v>
      </c>
      <c r="B145" t="s">
        <v>92</v>
      </c>
      <c r="D145">
        <v>29.991</v>
      </c>
      <c r="E145">
        <v>10373</v>
      </c>
      <c r="F145">
        <v>54.187199999999997</v>
      </c>
      <c r="G145" s="11"/>
      <c r="H145" t="s">
        <v>1746</v>
      </c>
      <c r="I145">
        <v>11181</v>
      </c>
      <c r="J145">
        <v>5263867</v>
      </c>
      <c r="K145">
        <v>10</v>
      </c>
      <c r="L145">
        <v>37</v>
      </c>
      <c r="M145" t="s">
        <v>227</v>
      </c>
      <c r="N145" s="6" t="s">
        <v>2250</v>
      </c>
      <c r="R145">
        <v>10</v>
      </c>
      <c r="S145">
        <v>37</v>
      </c>
      <c r="T145" t="s">
        <v>608</v>
      </c>
      <c r="U145" t="s">
        <v>2009</v>
      </c>
      <c r="V145" t="s">
        <v>2024</v>
      </c>
      <c r="W145" t="s">
        <v>2016</v>
      </c>
      <c r="X145" t="s">
        <v>2039</v>
      </c>
    </row>
    <row r="146" spans="1:24" x14ac:dyDescent="0.3">
      <c r="A146" t="s">
        <v>936</v>
      </c>
      <c r="B146" t="s">
        <v>169</v>
      </c>
      <c r="D146">
        <v>43.029000000000003</v>
      </c>
      <c r="E146">
        <v>14033</v>
      </c>
      <c r="F146">
        <v>52.85</v>
      </c>
      <c r="G146" s="11"/>
      <c r="H146" t="s">
        <v>1746</v>
      </c>
      <c r="I146">
        <v>12829</v>
      </c>
      <c r="J146">
        <v>6316860</v>
      </c>
      <c r="K146">
        <v>10</v>
      </c>
      <c r="L146">
        <v>37</v>
      </c>
      <c r="M146" t="s">
        <v>227</v>
      </c>
      <c r="N146" s="6" t="s">
        <v>2251</v>
      </c>
      <c r="R146">
        <v>10</v>
      </c>
      <c r="S146">
        <v>37</v>
      </c>
      <c r="T146" t="s">
        <v>608</v>
      </c>
      <c r="U146" t="s">
        <v>2009</v>
      </c>
      <c r="V146" t="s">
        <v>2024</v>
      </c>
      <c r="W146" t="s">
        <v>2016</v>
      </c>
      <c r="X146" t="s">
        <v>2039</v>
      </c>
    </row>
    <row r="147" spans="1:24" x14ac:dyDescent="0.3">
      <c r="A147" t="s">
        <v>937</v>
      </c>
      <c r="B147" t="s">
        <v>171</v>
      </c>
      <c r="D147">
        <v>39.420099999999998</v>
      </c>
      <c r="E147">
        <v>13421</v>
      </c>
      <c r="F147">
        <v>50.6</v>
      </c>
      <c r="G147" s="11"/>
      <c r="H147" t="s">
        <v>1746</v>
      </c>
      <c r="I147">
        <v>13417</v>
      </c>
      <c r="J147">
        <v>6277743</v>
      </c>
      <c r="K147">
        <v>25</v>
      </c>
      <c r="L147">
        <v>39</v>
      </c>
      <c r="M147" t="s">
        <v>226</v>
      </c>
      <c r="N147" s="6" t="s">
        <v>2249</v>
      </c>
      <c r="R147">
        <v>25</v>
      </c>
      <c r="S147">
        <v>39</v>
      </c>
      <c r="T147" t="s">
        <v>608</v>
      </c>
      <c r="U147" t="s">
        <v>2009</v>
      </c>
      <c r="V147" t="s">
        <v>2024</v>
      </c>
      <c r="W147" t="s">
        <v>2016</v>
      </c>
      <c r="X147" t="s">
        <v>2039</v>
      </c>
    </row>
    <row r="148" spans="1:24" x14ac:dyDescent="0.3">
      <c r="A148" t="s">
        <v>938</v>
      </c>
      <c r="B148" t="s">
        <v>177</v>
      </c>
      <c r="D148">
        <v>27.898399999999999</v>
      </c>
      <c r="E148">
        <v>10118</v>
      </c>
      <c r="F148">
        <v>54</v>
      </c>
      <c r="G148" s="11"/>
      <c r="H148" t="s">
        <v>1746</v>
      </c>
      <c r="I148">
        <v>10118</v>
      </c>
      <c r="J148">
        <v>4906581</v>
      </c>
      <c r="K148">
        <v>10</v>
      </c>
      <c r="L148">
        <v>35</v>
      </c>
      <c r="M148" t="s">
        <v>227</v>
      </c>
      <c r="N148" s="6" t="s">
        <v>2251</v>
      </c>
      <c r="R148">
        <v>10</v>
      </c>
      <c r="S148">
        <v>35</v>
      </c>
      <c r="T148" t="s">
        <v>608</v>
      </c>
      <c r="U148" t="s">
        <v>2009</v>
      </c>
      <c r="V148" t="s">
        <v>2024</v>
      </c>
      <c r="W148" t="s">
        <v>2016</v>
      </c>
      <c r="X148" t="s">
        <v>2039</v>
      </c>
    </row>
    <row r="149" spans="1:24" x14ac:dyDescent="0.3">
      <c r="A149" t="s">
        <v>1453</v>
      </c>
      <c r="B149" t="s">
        <v>3747</v>
      </c>
      <c r="D149">
        <v>33.200000000000003</v>
      </c>
      <c r="F149">
        <v>52.5</v>
      </c>
      <c r="G149" s="11"/>
      <c r="H149" t="s">
        <v>383</v>
      </c>
      <c r="I149" t="s">
        <v>383</v>
      </c>
      <c r="J149" t="s">
        <v>383</v>
      </c>
      <c r="M149" t="s">
        <v>1691</v>
      </c>
      <c r="N149" s="6" t="s">
        <v>2168</v>
      </c>
      <c r="O149">
        <v>5.5</v>
      </c>
      <c r="P149">
        <v>32.5</v>
      </c>
      <c r="Q149">
        <v>3</v>
      </c>
      <c r="R149">
        <v>5.5</v>
      </c>
      <c r="S149">
        <v>32.5</v>
      </c>
      <c r="T149" t="s">
        <v>1801</v>
      </c>
      <c r="U149" t="s">
        <v>2009</v>
      </c>
      <c r="V149" t="s">
        <v>2024</v>
      </c>
      <c r="W149" t="s">
        <v>2016</v>
      </c>
      <c r="X149" t="s">
        <v>2039</v>
      </c>
    </row>
    <row r="150" spans="1:24" x14ac:dyDescent="0.3">
      <c r="A150" t="s">
        <v>1455</v>
      </c>
      <c r="B150" t="s">
        <v>3748</v>
      </c>
      <c r="D150">
        <v>33.161999999999999</v>
      </c>
      <c r="E150">
        <v>8656</v>
      </c>
      <c r="F150">
        <v>51.5</v>
      </c>
      <c r="G150" s="8" t="s">
        <v>2078</v>
      </c>
      <c r="H150" t="s">
        <v>383</v>
      </c>
      <c r="I150" t="s">
        <v>383</v>
      </c>
      <c r="J150" t="s">
        <v>383</v>
      </c>
      <c r="M150" t="s">
        <v>1691</v>
      </c>
      <c r="N150" s="6" t="s">
        <v>2168</v>
      </c>
      <c r="O150">
        <v>0</v>
      </c>
      <c r="P150">
        <v>35</v>
      </c>
      <c r="Q150">
        <v>7</v>
      </c>
      <c r="R150">
        <v>0</v>
      </c>
      <c r="S150">
        <v>35</v>
      </c>
      <c r="T150" t="s">
        <v>1801</v>
      </c>
      <c r="U150" t="s">
        <v>2009</v>
      </c>
      <c r="V150" t="s">
        <v>2024</v>
      </c>
      <c r="W150" t="s">
        <v>2016</v>
      </c>
      <c r="X150" t="s">
        <v>2039</v>
      </c>
    </row>
    <row r="151" spans="1:24" x14ac:dyDescent="0.3">
      <c r="A151" t="s">
        <v>1742</v>
      </c>
      <c r="B151" t="s">
        <v>1730</v>
      </c>
      <c r="D151">
        <v>27.9</v>
      </c>
      <c r="E151">
        <v>9704</v>
      </c>
      <c r="F151">
        <v>56</v>
      </c>
      <c r="G151" s="11"/>
      <c r="H151" t="s">
        <v>340</v>
      </c>
      <c r="I151">
        <v>9709</v>
      </c>
      <c r="J151">
        <v>4790233</v>
      </c>
      <c r="K151">
        <v>6</v>
      </c>
      <c r="L151">
        <v>33</v>
      </c>
      <c r="M151" t="s">
        <v>236</v>
      </c>
      <c r="N151" s="6" t="s">
        <v>2252</v>
      </c>
      <c r="R151">
        <v>6</v>
      </c>
      <c r="S151">
        <v>33</v>
      </c>
      <c r="T151" t="s">
        <v>1801</v>
      </c>
      <c r="U151" t="s">
        <v>2009</v>
      </c>
      <c r="V151" t="s">
        <v>2024</v>
      </c>
      <c r="W151" t="s">
        <v>2016</v>
      </c>
      <c r="X151" t="s">
        <v>2039</v>
      </c>
    </row>
    <row r="152" spans="1:24" x14ac:dyDescent="0.3">
      <c r="A152" t="s">
        <v>1457</v>
      </c>
      <c r="B152" t="s">
        <v>3749</v>
      </c>
      <c r="D152">
        <v>32.799999999999997</v>
      </c>
      <c r="E152">
        <v>9571</v>
      </c>
      <c r="F152">
        <v>53</v>
      </c>
      <c r="G152" s="8" t="s">
        <v>2079</v>
      </c>
      <c r="H152" t="s">
        <v>383</v>
      </c>
      <c r="I152" t="s">
        <v>383</v>
      </c>
      <c r="J152" t="s">
        <v>383</v>
      </c>
      <c r="M152" t="s">
        <v>1691</v>
      </c>
      <c r="N152" s="6" t="s">
        <v>2168</v>
      </c>
      <c r="O152">
        <v>3</v>
      </c>
      <c r="P152">
        <v>35</v>
      </c>
      <c r="Q152">
        <v>3</v>
      </c>
      <c r="R152">
        <v>3</v>
      </c>
      <c r="S152">
        <v>35</v>
      </c>
      <c r="T152" t="s">
        <v>1801</v>
      </c>
      <c r="U152" t="s">
        <v>2009</v>
      </c>
      <c r="V152" t="s">
        <v>2024</v>
      </c>
      <c r="W152" t="s">
        <v>2016</v>
      </c>
      <c r="X152" t="s">
        <v>2039</v>
      </c>
    </row>
    <row r="153" spans="1:24" x14ac:dyDescent="0.3">
      <c r="A153" t="s">
        <v>939</v>
      </c>
      <c r="B153" t="s">
        <v>34</v>
      </c>
      <c r="D153">
        <v>26.69</v>
      </c>
      <c r="E153">
        <v>8807</v>
      </c>
      <c r="F153">
        <v>55.73</v>
      </c>
      <c r="G153" s="8" t="s">
        <v>2080</v>
      </c>
      <c r="H153" t="s">
        <v>3707</v>
      </c>
      <c r="I153">
        <v>8807</v>
      </c>
      <c r="J153">
        <v>4419036</v>
      </c>
      <c r="K153">
        <v>10</v>
      </c>
      <c r="L153">
        <v>34</v>
      </c>
      <c r="M153" t="s">
        <v>228</v>
      </c>
      <c r="N153" s="6" t="s">
        <v>2253</v>
      </c>
      <c r="R153">
        <v>10</v>
      </c>
      <c r="S153">
        <v>34</v>
      </c>
      <c r="T153" t="s">
        <v>1801</v>
      </c>
      <c r="U153" t="s">
        <v>2009</v>
      </c>
      <c r="V153" t="s">
        <v>2024</v>
      </c>
      <c r="W153" t="s">
        <v>2016</v>
      </c>
      <c r="X153" t="s">
        <v>2039</v>
      </c>
    </row>
    <row r="154" spans="1:24" x14ac:dyDescent="0.3">
      <c r="A154" t="s">
        <v>1743</v>
      </c>
      <c r="B154" t="s">
        <v>1731</v>
      </c>
      <c r="D154">
        <v>31.984999999999999</v>
      </c>
      <c r="E154">
        <v>12440</v>
      </c>
      <c r="F154">
        <v>52.78</v>
      </c>
      <c r="G154" s="8" t="s">
        <v>2081</v>
      </c>
      <c r="H154" t="s">
        <v>383</v>
      </c>
      <c r="I154" t="s">
        <v>383</v>
      </c>
      <c r="J154" t="s">
        <v>383</v>
      </c>
      <c r="K154">
        <v>10</v>
      </c>
      <c r="L154">
        <v>30</v>
      </c>
      <c r="M154" t="s">
        <v>236</v>
      </c>
      <c r="N154" s="6" t="s">
        <v>2252</v>
      </c>
      <c r="R154">
        <v>10</v>
      </c>
      <c r="S154">
        <v>30</v>
      </c>
      <c r="T154" t="s">
        <v>1801</v>
      </c>
      <c r="U154" t="s">
        <v>2009</v>
      </c>
      <c r="V154" t="s">
        <v>2024</v>
      </c>
      <c r="W154" t="s">
        <v>2016</v>
      </c>
      <c r="X154" t="s">
        <v>2039</v>
      </c>
    </row>
    <row r="155" spans="1:24" x14ac:dyDescent="0.3">
      <c r="A155" t="s">
        <v>940</v>
      </c>
      <c r="B155" t="s">
        <v>23</v>
      </c>
      <c r="D155">
        <v>32.091000000000001</v>
      </c>
      <c r="E155">
        <v>8823</v>
      </c>
      <c r="F155">
        <v>51.8</v>
      </c>
      <c r="G155" s="11"/>
      <c r="H155" t="s">
        <v>1746</v>
      </c>
      <c r="I155">
        <v>8814</v>
      </c>
      <c r="J155">
        <v>4252073</v>
      </c>
      <c r="K155">
        <v>0</v>
      </c>
      <c r="L155">
        <v>30</v>
      </c>
      <c r="M155" t="s">
        <v>227</v>
      </c>
      <c r="N155" s="6" t="s">
        <v>2254</v>
      </c>
      <c r="R155">
        <v>0</v>
      </c>
      <c r="S155">
        <v>30</v>
      </c>
      <c r="T155" t="s">
        <v>384</v>
      </c>
      <c r="U155" t="s">
        <v>2009</v>
      </c>
      <c r="V155" t="s">
        <v>2024</v>
      </c>
      <c r="W155" t="s">
        <v>2016</v>
      </c>
      <c r="X155" t="s">
        <v>2039</v>
      </c>
    </row>
    <row r="156" spans="1:24" x14ac:dyDescent="0.3">
      <c r="A156" t="s">
        <v>941</v>
      </c>
      <c r="B156" t="s">
        <v>151</v>
      </c>
      <c r="D156">
        <f>AVERAGE(12.143,12.115)</f>
        <v>12.129000000000001</v>
      </c>
      <c r="E156">
        <f>AVERAGE(5316,5936)</f>
        <v>5626</v>
      </c>
      <c r="F156">
        <v>44.5</v>
      </c>
      <c r="G156" s="11"/>
      <c r="H156" t="s">
        <v>1746</v>
      </c>
      <c r="I156">
        <v>5932</v>
      </c>
      <c r="J156">
        <v>2742050</v>
      </c>
      <c r="K156">
        <v>10</v>
      </c>
      <c r="L156">
        <v>46</v>
      </c>
      <c r="M156" t="s">
        <v>226</v>
      </c>
      <c r="N156" s="6" t="s">
        <v>2255</v>
      </c>
      <c r="R156">
        <v>10</v>
      </c>
      <c r="S156">
        <v>46</v>
      </c>
      <c r="T156" t="s">
        <v>1788</v>
      </c>
      <c r="U156" t="s">
        <v>2009</v>
      </c>
      <c r="V156" t="s">
        <v>2024</v>
      </c>
      <c r="W156" t="s">
        <v>2016</v>
      </c>
      <c r="X156" t="s">
        <v>3045</v>
      </c>
    </row>
    <row r="157" spans="1:24" x14ac:dyDescent="0.3">
      <c r="A157" t="s">
        <v>942</v>
      </c>
      <c r="B157" t="s">
        <v>78</v>
      </c>
      <c r="D157">
        <v>28.946999999999999</v>
      </c>
      <c r="E157">
        <v>9910</v>
      </c>
      <c r="F157">
        <v>46.4</v>
      </c>
      <c r="G157" s="11"/>
      <c r="H157" t="s">
        <v>1746</v>
      </c>
      <c r="I157">
        <v>9587</v>
      </c>
      <c r="J157">
        <v>4154142</v>
      </c>
      <c r="K157">
        <v>10</v>
      </c>
      <c r="L157">
        <v>42</v>
      </c>
      <c r="M157" t="s">
        <v>227</v>
      </c>
      <c r="N157" s="6" t="s">
        <v>2256</v>
      </c>
      <c r="O157" s="14"/>
      <c r="P157" s="14"/>
      <c r="R157">
        <v>10</v>
      </c>
      <c r="S157">
        <v>42</v>
      </c>
      <c r="T157" t="s">
        <v>1802</v>
      </c>
      <c r="U157" t="s">
        <v>2009</v>
      </c>
      <c r="V157" t="s">
        <v>2024</v>
      </c>
      <c r="W157" t="s">
        <v>2016</v>
      </c>
      <c r="X157" t="s">
        <v>2039</v>
      </c>
    </row>
    <row r="158" spans="1:24" x14ac:dyDescent="0.3">
      <c r="A158" t="s">
        <v>943</v>
      </c>
      <c r="B158" t="s">
        <v>140</v>
      </c>
      <c r="D158">
        <f>AVERAGE(27.583,26.936)</f>
        <v>27.259499999999999</v>
      </c>
      <c r="E158">
        <f>AVERAGE(10288,7124)</f>
        <v>8706</v>
      </c>
      <c r="F158">
        <v>46.6</v>
      </c>
      <c r="G158" s="11"/>
      <c r="H158" t="s">
        <v>1746</v>
      </c>
      <c r="I158">
        <v>10209</v>
      </c>
      <c r="J158">
        <v>4174150</v>
      </c>
      <c r="K158">
        <v>18</v>
      </c>
      <c r="L158">
        <v>42</v>
      </c>
      <c r="M158" t="s">
        <v>226</v>
      </c>
      <c r="N158" s="6" t="s">
        <v>2257</v>
      </c>
      <c r="R158">
        <v>18</v>
      </c>
      <c r="S158">
        <v>42</v>
      </c>
      <c r="T158" t="s">
        <v>1802</v>
      </c>
      <c r="U158" t="s">
        <v>2009</v>
      </c>
      <c r="V158" t="s">
        <v>2024</v>
      </c>
      <c r="W158" t="s">
        <v>2016</v>
      </c>
      <c r="X158" t="s">
        <v>2039</v>
      </c>
    </row>
    <row r="159" spans="1:24" x14ac:dyDescent="0.3">
      <c r="A159" t="s">
        <v>868</v>
      </c>
      <c r="B159" t="s">
        <v>10</v>
      </c>
      <c r="C159" t="s">
        <v>343</v>
      </c>
      <c r="D159">
        <f>AVERAGE(44.199,38.41,37.785,32.575,36.483,45.256,41.319)</f>
        <v>39.432428571428566</v>
      </c>
      <c r="E159">
        <f>AVERAGE(11727,11145,11324,10409,11808,12842,11792)</f>
        <v>11578.142857142857</v>
      </c>
      <c r="F159">
        <v>50.25</v>
      </c>
      <c r="G159" s="11"/>
      <c r="H159" t="s">
        <v>1746</v>
      </c>
      <c r="I159">
        <v>12852</v>
      </c>
      <c r="J159">
        <v>5528478</v>
      </c>
      <c r="K159">
        <v>16</v>
      </c>
      <c r="L159">
        <v>37</v>
      </c>
      <c r="M159" t="s">
        <v>226</v>
      </c>
      <c r="N159" s="6" t="s">
        <v>2258</v>
      </c>
      <c r="O159">
        <v>5.5</v>
      </c>
      <c r="P159">
        <v>43</v>
      </c>
      <c r="R159">
        <v>5.5</v>
      </c>
      <c r="S159">
        <v>43</v>
      </c>
      <c r="T159" t="s">
        <v>1775</v>
      </c>
      <c r="U159" t="s">
        <v>2009</v>
      </c>
      <c r="V159" t="s">
        <v>2024</v>
      </c>
      <c r="W159" t="s">
        <v>2016</v>
      </c>
      <c r="X159" t="s">
        <v>2039</v>
      </c>
    </row>
    <row r="160" spans="1:24" x14ac:dyDescent="0.3">
      <c r="A160" t="s">
        <v>1275</v>
      </c>
      <c r="B160" t="s">
        <v>777</v>
      </c>
      <c r="D160">
        <v>65.099999999999994</v>
      </c>
      <c r="E160">
        <v>15192</v>
      </c>
      <c r="F160">
        <v>50.5</v>
      </c>
      <c r="G160" s="11"/>
      <c r="H160" t="s">
        <v>340</v>
      </c>
      <c r="I160">
        <v>15211</v>
      </c>
      <c r="J160">
        <v>7172084</v>
      </c>
      <c r="K160">
        <v>11</v>
      </c>
      <c r="L160">
        <v>36</v>
      </c>
      <c r="M160" t="s">
        <v>228</v>
      </c>
      <c r="N160" s="6" t="s">
        <v>2259</v>
      </c>
      <c r="R160">
        <v>11</v>
      </c>
      <c r="S160">
        <v>36</v>
      </c>
      <c r="T160" t="s">
        <v>610</v>
      </c>
      <c r="U160" t="s">
        <v>2009</v>
      </c>
      <c r="V160" t="s">
        <v>2024</v>
      </c>
      <c r="W160" t="s">
        <v>2016</v>
      </c>
      <c r="X160" t="s">
        <v>2039</v>
      </c>
    </row>
    <row r="161" spans="1:24" x14ac:dyDescent="0.3">
      <c r="A161" t="s">
        <v>1459</v>
      </c>
      <c r="B161" t="s">
        <v>3750</v>
      </c>
      <c r="D161">
        <v>50.2</v>
      </c>
      <c r="F161">
        <v>54</v>
      </c>
      <c r="G161" s="11"/>
      <c r="H161" t="s">
        <v>383</v>
      </c>
      <c r="I161" t="s">
        <v>383</v>
      </c>
      <c r="J161" t="s">
        <v>383</v>
      </c>
      <c r="K161">
        <v>1.7</v>
      </c>
      <c r="L161">
        <v>40</v>
      </c>
      <c r="M161" t="s">
        <v>1691</v>
      </c>
      <c r="N161" s="6" t="s">
        <v>2168</v>
      </c>
      <c r="Q161">
        <v>37</v>
      </c>
      <c r="R161">
        <v>1.7</v>
      </c>
      <c r="S161">
        <v>40</v>
      </c>
      <c r="T161" t="s">
        <v>611</v>
      </c>
      <c r="U161" t="s">
        <v>2009</v>
      </c>
      <c r="V161" t="s">
        <v>2024</v>
      </c>
      <c r="W161" t="s">
        <v>2016</v>
      </c>
      <c r="X161" t="s">
        <v>2039</v>
      </c>
    </row>
    <row r="162" spans="1:24" x14ac:dyDescent="0.3">
      <c r="A162" t="s">
        <v>1461</v>
      </c>
      <c r="B162" t="s">
        <v>3751</v>
      </c>
      <c r="C162" t="s">
        <v>1460</v>
      </c>
      <c r="D162">
        <v>56.1</v>
      </c>
      <c r="E162">
        <v>15901</v>
      </c>
      <c r="F162">
        <v>50.21</v>
      </c>
      <c r="G162" s="8" t="s">
        <v>2082</v>
      </c>
      <c r="H162" t="s">
        <v>383</v>
      </c>
      <c r="I162" t="s">
        <v>383</v>
      </c>
      <c r="J162" t="s">
        <v>383</v>
      </c>
      <c r="K162">
        <v>6.25</v>
      </c>
      <c r="L162">
        <v>34</v>
      </c>
      <c r="M162" t="s">
        <v>1691</v>
      </c>
      <c r="N162" s="6" t="s">
        <v>2168</v>
      </c>
      <c r="Q162">
        <v>3</v>
      </c>
      <c r="R162">
        <v>6.25</v>
      </c>
      <c r="S162">
        <v>34</v>
      </c>
      <c r="T162" t="s">
        <v>1803</v>
      </c>
      <c r="U162" t="s">
        <v>2009</v>
      </c>
      <c r="V162" t="s">
        <v>2024</v>
      </c>
      <c r="W162" t="s">
        <v>2016</v>
      </c>
      <c r="X162" t="s">
        <v>2039</v>
      </c>
    </row>
    <row r="163" spans="1:24" x14ac:dyDescent="0.3">
      <c r="A163" t="s">
        <v>1463</v>
      </c>
      <c r="B163" t="s">
        <v>3752</v>
      </c>
      <c r="D163">
        <v>49.085000000000001</v>
      </c>
      <c r="E163">
        <v>15619</v>
      </c>
      <c r="F163">
        <v>52.5</v>
      </c>
      <c r="G163" s="11"/>
      <c r="H163" t="s">
        <v>340</v>
      </c>
      <c r="I163">
        <v>15618</v>
      </c>
      <c r="J163">
        <v>6181278</v>
      </c>
      <c r="K163">
        <v>6.5</v>
      </c>
      <c r="L163">
        <v>37.5</v>
      </c>
      <c r="M163" t="s">
        <v>1691</v>
      </c>
      <c r="N163" s="6" t="s">
        <v>2168</v>
      </c>
      <c r="Q163">
        <v>6</v>
      </c>
      <c r="R163">
        <v>6.5</v>
      </c>
      <c r="S163">
        <v>37.5</v>
      </c>
      <c r="T163" t="s">
        <v>614</v>
      </c>
      <c r="U163" t="s">
        <v>2009</v>
      </c>
      <c r="V163" t="s">
        <v>2024</v>
      </c>
      <c r="W163" t="s">
        <v>2016</v>
      </c>
      <c r="X163" t="s">
        <v>2039</v>
      </c>
    </row>
    <row r="164" spans="1:24" x14ac:dyDescent="0.3">
      <c r="A164" t="s">
        <v>1332</v>
      </c>
      <c r="B164" t="s">
        <v>699</v>
      </c>
      <c r="C164" t="s">
        <v>699</v>
      </c>
      <c r="D164">
        <v>49.01</v>
      </c>
      <c r="E164">
        <v>13759</v>
      </c>
      <c r="F164">
        <v>52.5</v>
      </c>
      <c r="G164" s="8" t="s">
        <v>2083</v>
      </c>
      <c r="H164" t="s">
        <v>1746</v>
      </c>
      <c r="I164">
        <v>13759</v>
      </c>
      <c r="J164">
        <v>6816730</v>
      </c>
      <c r="K164">
        <v>5</v>
      </c>
      <c r="L164">
        <v>35</v>
      </c>
      <c r="M164" t="s">
        <v>227</v>
      </c>
      <c r="N164" s="6" t="s">
        <v>2260</v>
      </c>
      <c r="R164">
        <v>5</v>
      </c>
      <c r="S164">
        <v>35</v>
      </c>
      <c r="T164" t="s">
        <v>609</v>
      </c>
      <c r="U164" t="s">
        <v>2009</v>
      </c>
      <c r="V164" t="s">
        <v>2024</v>
      </c>
      <c r="W164" t="s">
        <v>2016</v>
      </c>
      <c r="X164" t="s">
        <v>2039</v>
      </c>
    </row>
    <row r="165" spans="1:24" x14ac:dyDescent="0.3">
      <c r="A165" t="s">
        <v>1333</v>
      </c>
      <c r="B165" t="s">
        <v>700</v>
      </c>
      <c r="C165" t="s">
        <v>1464</v>
      </c>
      <c r="D165">
        <v>59.5</v>
      </c>
      <c r="E165">
        <v>17388</v>
      </c>
      <c r="F165">
        <v>53</v>
      </c>
      <c r="G165" s="11"/>
      <c r="H165" t="s">
        <v>1746</v>
      </c>
      <c r="I165">
        <v>17182</v>
      </c>
      <c r="J165">
        <v>8073644</v>
      </c>
      <c r="K165">
        <v>10</v>
      </c>
      <c r="L165">
        <v>34</v>
      </c>
      <c r="M165" t="s">
        <v>228</v>
      </c>
      <c r="N165" s="6" t="s">
        <v>2259</v>
      </c>
      <c r="O165">
        <v>0</v>
      </c>
      <c r="P165">
        <v>30</v>
      </c>
      <c r="R165">
        <v>0</v>
      </c>
      <c r="S165">
        <v>34</v>
      </c>
      <c r="T165" t="s">
        <v>610</v>
      </c>
      <c r="U165" t="s">
        <v>2009</v>
      </c>
      <c r="V165" t="s">
        <v>2024</v>
      </c>
      <c r="W165" t="s">
        <v>2016</v>
      </c>
      <c r="X165" t="s">
        <v>2039</v>
      </c>
    </row>
    <row r="166" spans="1:24" x14ac:dyDescent="0.3">
      <c r="A166" t="s">
        <v>944</v>
      </c>
      <c r="B166" t="s">
        <v>532</v>
      </c>
      <c r="D166">
        <v>53.21</v>
      </c>
      <c r="E166">
        <v>16538</v>
      </c>
      <c r="F166">
        <v>52.3</v>
      </c>
      <c r="G166" s="11"/>
      <c r="H166" t="s">
        <v>1746</v>
      </c>
      <c r="I166">
        <v>16388</v>
      </c>
      <c r="J166">
        <v>6823665</v>
      </c>
      <c r="K166">
        <v>10</v>
      </c>
      <c r="L166">
        <v>38</v>
      </c>
      <c r="M166" t="s">
        <v>228</v>
      </c>
      <c r="N166" s="6" t="s">
        <v>2261</v>
      </c>
      <c r="O166">
        <v>0</v>
      </c>
      <c r="P166">
        <v>37.5</v>
      </c>
      <c r="R166">
        <v>0</v>
      </c>
      <c r="S166">
        <v>38</v>
      </c>
      <c r="T166" t="s">
        <v>610</v>
      </c>
      <c r="U166" t="s">
        <v>2009</v>
      </c>
      <c r="V166" t="s">
        <v>2024</v>
      </c>
      <c r="W166" t="s">
        <v>2016</v>
      </c>
      <c r="X166" t="s">
        <v>2039</v>
      </c>
    </row>
    <row r="167" spans="1:24" x14ac:dyDescent="0.3">
      <c r="A167" t="s">
        <v>1276</v>
      </c>
      <c r="B167" t="s">
        <v>778</v>
      </c>
      <c r="D167">
        <v>51.652000000000001</v>
      </c>
      <c r="E167">
        <v>16071</v>
      </c>
      <c r="F167">
        <v>52</v>
      </c>
      <c r="G167" s="11"/>
      <c r="H167" t="s">
        <v>340</v>
      </c>
      <c r="I167">
        <v>16071</v>
      </c>
      <c r="J167">
        <v>6941239</v>
      </c>
      <c r="K167">
        <v>5</v>
      </c>
      <c r="L167">
        <v>31</v>
      </c>
      <c r="M167" t="s">
        <v>227</v>
      </c>
      <c r="N167" s="6" t="s">
        <v>2262</v>
      </c>
      <c r="R167">
        <v>5</v>
      </c>
      <c r="S167">
        <v>31</v>
      </c>
      <c r="T167" t="s">
        <v>609</v>
      </c>
      <c r="U167" t="s">
        <v>2009</v>
      </c>
      <c r="V167" t="s">
        <v>2024</v>
      </c>
      <c r="W167" t="s">
        <v>2016</v>
      </c>
      <c r="X167" t="s">
        <v>2039</v>
      </c>
    </row>
    <row r="168" spans="1:24" x14ac:dyDescent="0.3">
      <c r="A168" t="s">
        <v>945</v>
      </c>
      <c r="B168" t="s">
        <v>51</v>
      </c>
      <c r="D168">
        <v>51.603999999999999</v>
      </c>
      <c r="E168">
        <v>12006</v>
      </c>
      <c r="F168">
        <v>47.2926</v>
      </c>
      <c r="G168" s="11"/>
      <c r="H168" t="s">
        <v>1746</v>
      </c>
      <c r="I168">
        <v>12019</v>
      </c>
      <c r="J168">
        <v>5585661</v>
      </c>
      <c r="K168">
        <v>12</v>
      </c>
      <c r="L168">
        <v>37</v>
      </c>
      <c r="M168" t="s">
        <v>227</v>
      </c>
      <c r="N168" s="6" t="s">
        <v>2263</v>
      </c>
      <c r="R168">
        <v>12</v>
      </c>
      <c r="S168">
        <v>37</v>
      </c>
      <c r="T168" t="s">
        <v>614</v>
      </c>
      <c r="U168" t="s">
        <v>2009</v>
      </c>
      <c r="V168" t="s">
        <v>2024</v>
      </c>
      <c r="W168" t="s">
        <v>2016</v>
      </c>
      <c r="X168" t="s">
        <v>2039</v>
      </c>
    </row>
    <row r="169" spans="1:24" x14ac:dyDescent="0.3">
      <c r="A169" t="s">
        <v>946</v>
      </c>
      <c r="B169" t="s">
        <v>116</v>
      </c>
      <c r="D169">
        <v>50.716000000000001</v>
      </c>
      <c r="E169">
        <v>14651</v>
      </c>
      <c r="F169">
        <v>54.504399999999997</v>
      </c>
      <c r="G169" s="11"/>
      <c r="H169" t="s">
        <v>1746</v>
      </c>
      <c r="I169">
        <v>12820</v>
      </c>
      <c r="J169">
        <v>6257554</v>
      </c>
      <c r="K169">
        <v>8</v>
      </c>
      <c r="L169">
        <v>35</v>
      </c>
      <c r="M169" t="s">
        <v>227</v>
      </c>
      <c r="N169" s="6" t="s">
        <v>2264</v>
      </c>
      <c r="R169">
        <v>8</v>
      </c>
      <c r="S169">
        <v>35</v>
      </c>
      <c r="T169" t="s">
        <v>613</v>
      </c>
      <c r="U169" t="s">
        <v>2009</v>
      </c>
      <c r="V169" t="s">
        <v>2024</v>
      </c>
      <c r="W169" t="s">
        <v>2016</v>
      </c>
      <c r="X169" t="s">
        <v>2039</v>
      </c>
    </row>
    <row r="170" spans="1:24" x14ac:dyDescent="0.3">
      <c r="A170" t="s">
        <v>1466</v>
      </c>
      <c r="B170" t="s">
        <v>3753</v>
      </c>
      <c r="D170">
        <v>74.319999999999993</v>
      </c>
      <c r="E170">
        <v>15.529</v>
      </c>
      <c r="F170">
        <v>46.7</v>
      </c>
      <c r="G170" s="8" t="s">
        <v>2084</v>
      </c>
      <c r="H170" t="s">
        <v>383</v>
      </c>
      <c r="I170" t="s">
        <v>383</v>
      </c>
      <c r="J170" t="s">
        <v>383</v>
      </c>
      <c r="M170" t="s">
        <v>1691</v>
      </c>
      <c r="N170" s="6" t="s">
        <v>2168</v>
      </c>
      <c r="O170">
        <v>9</v>
      </c>
      <c r="P170">
        <v>36.5</v>
      </c>
      <c r="Q170">
        <v>8</v>
      </c>
      <c r="R170">
        <v>9</v>
      </c>
      <c r="S170">
        <v>36.5</v>
      </c>
      <c r="T170" t="s">
        <v>610</v>
      </c>
      <c r="U170" t="s">
        <v>2009</v>
      </c>
      <c r="V170" t="s">
        <v>2024</v>
      </c>
      <c r="W170" t="s">
        <v>2016</v>
      </c>
      <c r="X170" t="s">
        <v>2039</v>
      </c>
    </row>
    <row r="171" spans="1:24" x14ac:dyDescent="0.3">
      <c r="A171" t="s">
        <v>1468</v>
      </c>
      <c r="B171" t="s">
        <v>3754</v>
      </c>
      <c r="D171">
        <v>100.4</v>
      </c>
      <c r="E171">
        <v>13821</v>
      </c>
      <c r="F171">
        <v>37.5</v>
      </c>
      <c r="G171" s="8" t="s">
        <v>2085</v>
      </c>
      <c r="H171" t="s">
        <v>383</v>
      </c>
      <c r="I171" t="s">
        <v>383</v>
      </c>
      <c r="J171" t="s">
        <v>383</v>
      </c>
      <c r="M171" t="s">
        <v>1691</v>
      </c>
      <c r="N171" s="6" t="s">
        <v>2168</v>
      </c>
      <c r="O171">
        <v>0</v>
      </c>
      <c r="P171">
        <v>42</v>
      </c>
      <c r="Q171">
        <v>62</v>
      </c>
      <c r="R171">
        <v>0</v>
      </c>
      <c r="S171">
        <v>42</v>
      </c>
      <c r="T171" t="s">
        <v>615</v>
      </c>
      <c r="U171" t="s">
        <v>2009</v>
      </c>
      <c r="V171" t="s">
        <v>2024</v>
      </c>
      <c r="W171" t="s">
        <v>2016</v>
      </c>
      <c r="X171" t="s">
        <v>2039</v>
      </c>
    </row>
    <row r="172" spans="1:24" x14ac:dyDescent="0.3">
      <c r="A172" t="s">
        <v>1470</v>
      </c>
      <c r="B172" t="s">
        <v>3755</v>
      </c>
      <c r="C172" t="s">
        <v>1705</v>
      </c>
      <c r="D172">
        <f>AVERAGE(55.25,53.12,52.99,49,53.73,53.89,56,69)</f>
        <v>55.372500000000002</v>
      </c>
      <c r="E172">
        <v>12146</v>
      </c>
      <c r="F172">
        <f>AVERAGE(54,54.1,55,54.8,54.3,54.5,53.9)</f>
        <v>54.371428571428567</v>
      </c>
      <c r="G172" s="8" t="s">
        <v>2086</v>
      </c>
      <c r="H172" t="s">
        <v>383</v>
      </c>
      <c r="I172" t="s">
        <v>383</v>
      </c>
      <c r="J172" t="s">
        <v>383</v>
      </c>
      <c r="M172" t="s">
        <v>1691</v>
      </c>
      <c r="N172" s="6" t="s">
        <v>2168</v>
      </c>
      <c r="O172">
        <v>10</v>
      </c>
      <c r="P172">
        <v>35</v>
      </c>
      <c r="Q172">
        <v>3</v>
      </c>
      <c r="R172">
        <v>10</v>
      </c>
      <c r="S172">
        <v>35</v>
      </c>
      <c r="T172" t="s">
        <v>613</v>
      </c>
      <c r="U172" t="s">
        <v>2009</v>
      </c>
      <c r="V172" t="s">
        <v>2024</v>
      </c>
      <c r="W172" t="s">
        <v>2016</v>
      </c>
      <c r="X172" t="s">
        <v>2039</v>
      </c>
    </row>
    <row r="173" spans="1:24" x14ac:dyDescent="0.3">
      <c r="A173" t="s">
        <v>1334</v>
      </c>
      <c r="B173" t="s">
        <v>701</v>
      </c>
      <c r="D173">
        <v>53</v>
      </c>
      <c r="E173">
        <v>14483</v>
      </c>
      <c r="F173">
        <v>53</v>
      </c>
      <c r="G173" s="11"/>
      <c r="H173" t="s">
        <v>1746</v>
      </c>
      <c r="I173">
        <v>13983</v>
      </c>
      <c r="J173">
        <v>5643413</v>
      </c>
      <c r="K173">
        <v>6</v>
      </c>
      <c r="L173">
        <v>42</v>
      </c>
      <c r="M173" t="s">
        <v>226</v>
      </c>
      <c r="N173" s="6" t="s">
        <v>2265</v>
      </c>
      <c r="R173">
        <v>6</v>
      </c>
      <c r="S173">
        <v>42</v>
      </c>
      <c r="T173" t="s">
        <v>612</v>
      </c>
      <c r="U173" t="s">
        <v>2009</v>
      </c>
      <c r="V173" t="s">
        <v>2024</v>
      </c>
      <c r="W173" t="s">
        <v>2016</v>
      </c>
      <c r="X173" t="s">
        <v>2039</v>
      </c>
    </row>
    <row r="174" spans="1:24" x14ac:dyDescent="0.3">
      <c r="A174" t="s">
        <v>1335</v>
      </c>
      <c r="B174" t="s">
        <v>702</v>
      </c>
      <c r="D174">
        <v>63.4</v>
      </c>
      <c r="E174">
        <v>18681</v>
      </c>
      <c r="F174">
        <v>46.5</v>
      </c>
      <c r="G174" s="11"/>
      <c r="H174" t="s">
        <v>1746</v>
      </c>
      <c r="I174">
        <v>18335</v>
      </c>
      <c r="J174">
        <v>8455735</v>
      </c>
      <c r="K174">
        <v>5</v>
      </c>
      <c r="L174">
        <v>30</v>
      </c>
      <c r="M174" t="s">
        <v>227</v>
      </c>
      <c r="N174" s="6" t="s">
        <v>2266</v>
      </c>
      <c r="R174">
        <v>5</v>
      </c>
      <c r="S174">
        <v>30</v>
      </c>
      <c r="T174" t="s">
        <v>609</v>
      </c>
      <c r="U174" t="s">
        <v>2009</v>
      </c>
      <c r="V174" t="s">
        <v>2024</v>
      </c>
      <c r="W174" t="s">
        <v>2016</v>
      </c>
      <c r="X174" t="s">
        <v>2039</v>
      </c>
    </row>
    <row r="175" spans="1:24" x14ac:dyDescent="0.3">
      <c r="A175" t="s">
        <v>1472</v>
      </c>
      <c r="B175" t="s">
        <v>3756</v>
      </c>
      <c r="D175">
        <v>60.5</v>
      </c>
      <c r="E175">
        <v>13451</v>
      </c>
      <c r="F175">
        <v>49.5</v>
      </c>
      <c r="G175" s="8" t="s">
        <v>2087</v>
      </c>
      <c r="H175" t="s">
        <v>383</v>
      </c>
      <c r="I175" t="s">
        <v>383</v>
      </c>
      <c r="J175" t="s">
        <v>383</v>
      </c>
      <c r="M175" t="s">
        <v>1691</v>
      </c>
      <c r="N175" s="6" t="s">
        <v>2168</v>
      </c>
      <c r="O175">
        <v>6.5</v>
      </c>
      <c r="P175">
        <v>37.5</v>
      </c>
      <c r="Q175">
        <v>12</v>
      </c>
      <c r="R175">
        <v>6.5</v>
      </c>
      <c r="S175">
        <v>37.5</v>
      </c>
      <c r="T175" t="s">
        <v>610</v>
      </c>
      <c r="U175" t="s">
        <v>2009</v>
      </c>
      <c r="V175" t="s">
        <v>2024</v>
      </c>
      <c r="W175" t="s">
        <v>2016</v>
      </c>
      <c r="X175" t="s">
        <v>2039</v>
      </c>
    </row>
    <row r="176" spans="1:24" x14ac:dyDescent="0.3">
      <c r="A176" t="s">
        <v>1274</v>
      </c>
      <c r="B176" t="s">
        <v>776</v>
      </c>
      <c r="D176">
        <v>49.956000000000003</v>
      </c>
      <c r="E176">
        <v>14404</v>
      </c>
      <c r="F176">
        <v>52</v>
      </c>
      <c r="G176" s="11"/>
      <c r="H176" t="s">
        <v>340</v>
      </c>
      <c r="I176">
        <v>14404</v>
      </c>
      <c r="J176">
        <v>6905711</v>
      </c>
      <c r="K176">
        <v>10</v>
      </c>
      <c r="L176">
        <v>32</v>
      </c>
      <c r="M176" t="s">
        <v>228</v>
      </c>
      <c r="N176" s="6" t="s">
        <v>2259</v>
      </c>
      <c r="R176">
        <v>10</v>
      </c>
      <c r="S176">
        <v>32</v>
      </c>
      <c r="T176" t="s">
        <v>609</v>
      </c>
      <c r="U176" t="s">
        <v>2009</v>
      </c>
      <c r="V176" t="s">
        <v>2024</v>
      </c>
      <c r="W176" t="s">
        <v>2016</v>
      </c>
      <c r="X176" t="s">
        <v>2039</v>
      </c>
    </row>
    <row r="177" spans="1:24" x14ac:dyDescent="0.3">
      <c r="A177" t="s">
        <v>1336</v>
      </c>
      <c r="B177" t="s">
        <v>3757</v>
      </c>
      <c r="D177">
        <v>109.7</v>
      </c>
      <c r="E177">
        <v>12292</v>
      </c>
      <c r="F177">
        <v>36.5</v>
      </c>
      <c r="G177" s="11"/>
      <c r="H177" t="s">
        <v>1746</v>
      </c>
      <c r="I177">
        <v>12236</v>
      </c>
      <c r="J177">
        <v>5682910</v>
      </c>
      <c r="M177" t="s">
        <v>1691</v>
      </c>
      <c r="N177" s="6" t="s">
        <v>2168</v>
      </c>
      <c r="O177">
        <v>10</v>
      </c>
      <c r="P177">
        <v>35</v>
      </c>
      <c r="Q177">
        <v>13</v>
      </c>
      <c r="R177">
        <v>10</v>
      </c>
      <c r="S177">
        <v>35</v>
      </c>
      <c r="T177" t="s">
        <v>615</v>
      </c>
      <c r="U177" t="s">
        <v>2009</v>
      </c>
      <c r="V177" t="s">
        <v>2024</v>
      </c>
      <c r="W177" t="s">
        <v>2016</v>
      </c>
      <c r="X177" t="s">
        <v>2039</v>
      </c>
    </row>
    <row r="178" spans="1:24" x14ac:dyDescent="0.3">
      <c r="A178" t="s">
        <v>1475</v>
      </c>
      <c r="B178" t="s">
        <v>3758</v>
      </c>
      <c r="D178">
        <v>40.93</v>
      </c>
      <c r="E178">
        <v>9403</v>
      </c>
      <c r="F178">
        <v>49.79</v>
      </c>
      <c r="G178" s="8" t="s">
        <v>2088</v>
      </c>
      <c r="H178" t="s">
        <v>383</v>
      </c>
      <c r="I178" t="s">
        <v>383</v>
      </c>
      <c r="J178" t="s">
        <v>383</v>
      </c>
      <c r="M178" t="s">
        <v>1691</v>
      </c>
      <c r="N178" s="6" t="s">
        <v>2168</v>
      </c>
      <c r="O178">
        <v>5</v>
      </c>
      <c r="P178">
        <v>39.5</v>
      </c>
      <c r="Q178">
        <v>6</v>
      </c>
      <c r="R178">
        <v>5</v>
      </c>
      <c r="S178">
        <v>39.5</v>
      </c>
      <c r="T178" t="s">
        <v>616</v>
      </c>
      <c r="U178" t="s">
        <v>2009</v>
      </c>
      <c r="V178" t="s">
        <v>2024</v>
      </c>
      <c r="W178" t="s">
        <v>2016</v>
      </c>
      <c r="X178" t="s">
        <v>2039</v>
      </c>
    </row>
    <row r="179" spans="1:24" x14ac:dyDescent="0.3">
      <c r="A179" t="s">
        <v>948</v>
      </c>
      <c r="B179" t="s">
        <v>46</v>
      </c>
      <c r="D179">
        <v>42.968499999999999</v>
      </c>
      <c r="E179">
        <v>13761</v>
      </c>
      <c r="F179">
        <v>52.3</v>
      </c>
      <c r="G179" s="11"/>
      <c r="H179" t="s">
        <v>1746</v>
      </c>
      <c r="I179">
        <v>13735</v>
      </c>
      <c r="J179">
        <v>6006140</v>
      </c>
      <c r="K179">
        <v>3</v>
      </c>
      <c r="L179">
        <v>40</v>
      </c>
      <c r="M179" t="s">
        <v>227</v>
      </c>
      <c r="N179" s="6" t="s">
        <v>2267</v>
      </c>
      <c r="O179">
        <v>3</v>
      </c>
      <c r="P179">
        <v>38</v>
      </c>
      <c r="Q179">
        <v>12</v>
      </c>
      <c r="R179">
        <v>3</v>
      </c>
      <c r="S179">
        <v>40</v>
      </c>
      <c r="T179" t="s">
        <v>1804</v>
      </c>
      <c r="U179" t="s">
        <v>2009</v>
      </c>
      <c r="V179" t="s">
        <v>2024</v>
      </c>
      <c r="W179" t="s">
        <v>2015</v>
      </c>
      <c r="X179" t="s">
        <v>3039</v>
      </c>
    </row>
    <row r="180" spans="1:24" x14ac:dyDescent="0.3">
      <c r="A180" t="s">
        <v>949</v>
      </c>
      <c r="B180" t="s">
        <v>99</v>
      </c>
      <c r="D180" s="15">
        <v>28.645299999999999</v>
      </c>
      <c r="E180">
        <v>9308</v>
      </c>
      <c r="F180">
        <v>52.1</v>
      </c>
      <c r="G180" s="11"/>
      <c r="H180" t="s">
        <v>1746</v>
      </c>
      <c r="I180">
        <v>9306</v>
      </c>
      <c r="J180">
        <v>4486276</v>
      </c>
      <c r="K180">
        <v>9</v>
      </c>
      <c r="L180">
        <v>29</v>
      </c>
      <c r="M180" t="s">
        <v>226</v>
      </c>
      <c r="N180" s="6" t="s">
        <v>2268</v>
      </c>
      <c r="R180">
        <v>9</v>
      </c>
      <c r="S180">
        <v>29</v>
      </c>
      <c r="T180" t="s">
        <v>1805</v>
      </c>
      <c r="U180" t="s">
        <v>2009</v>
      </c>
      <c r="V180" t="s">
        <v>2024</v>
      </c>
      <c r="W180" t="s">
        <v>2016</v>
      </c>
      <c r="X180" t="s">
        <v>2039</v>
      </c>
    </row>
    <row r="181" spans="1:24" x14ac:dyDescent="0.3">
      <c r="A181" t="s">
        <v>1570</v>
      </c>
      <c r="B181" t="s">
        <v>3759</v>
      </c>
      <c r="C181" t="s">
        <v>1570</v>
      </c>
      <c r="D181">
        <v>38.463999999999999</v>
      </c>
      <c r="F181">
        <v>53.5</v>
      </c>
      <c r="G181" s="11"/>
      <c r="H181" t="s">
        <v>383</v>
      </c>
      <c r="I181" t="s">
        <v>383</v>
      </c>
      <c r="J181" t="s">
        <v>383</v>
      </c>
      <c r="M181" t="s">
        <v>1691</v>
      </c>
      <c r="N181" s="6" t="s">
        <v>2168</v>
      </c>
      <c r="O181">
        <v>1</v>
      </c>
      <c r="P181">
        <v>33.5</v>
      </c>
      <c r="Q181">
        <v>3</v>
      </c>
      <c r="R181">
        <v>1</v>
      </c>
      <c r="S181">
        <v>33.5</v>
      </c>
      <c r="T181" t="s">
        <v>1806</v>
      </c>
      <c r="U181" t="s">
        <v>2009</v>
      </c>
      <c r="V181" t="s">
        <v>2024</v>
      </c>
      <c r="W181" t="s">
        <v>2016</v>
      </c>
      <c r="X181" t="s">
        <v>2039</v>
      </c>
    </row>
    <row r="182" spans="1:24" x14ac:dyDescent="0.3">
      <c r="A182" t="s">
        <v>1337</v>
      </c>
      <c r="B182" t="s">
        <v>703</v>
      </c>
      <c r="D182">
        <v>77.385999999999996</v>
      </c>
      <c r="E182">
        <v>23559</v>
      </c>
      <c r="F182">
        <v>53.5</v>
      </c>
      <c r="G182" s="11"/>
      <c r="H182" t="s">
        <v>1746</v>
      </c>
      <c r="I182">
        <v>23011</v>
      </c>
      <c r="J182">
        <v>8897202</v>
      </c>
      <c r="K182">
        <v>15</v>
      </c>
      <c r="L182">
        <v>37</v>
      </c>
      <c r="M182" t="s">
        <v>227</v>
      </c>
      <c r="N182" s="6" t="s">
        <v>2269</v>
      </c>
      <c r="R182">
        <v>15</v>
      </c>
      <c r="S182">
        <v>37</v>
      </c>
      <c r="T182" t="s">
        <v>617</v>
      </c>
      <c r="U182" t="s">
        <v>2009</v>
      </c>
      <c r="V182" t="s">
        <v>2024</v>
      </c>
      <c r="W182" t="s">
        <v>2015</v>
      </c>
      <c r="X182" t="s">
        <v>3039</v>
      </c>
    </row>
    <row r="183" spans="1:24" x14ac:dyDescent="0.3">
      <c r="A183" t="s">
        <v>950</v>
      </c>
      <c r="B183" t="s">
        <v>312</v>
      </c>
      <c r="D183">
        <v>30.625499999999999</v>
      </c>
      <c r="E183">
        <v>10160</v>
      </c>
      <c r="F183">
        <v>42.1</v>
      </c>
      <c r="G183" s="11"/>
      <c r="H183" t="s">
        <v>383</v>
      </c>
      <c r="I183" t="s">
        <v>383</v>
      </c>
      <c r="J183" t="s">
        <v>383</v>
      </c>
      <c r="K183">
        <v>5</v>
      </c>
      <c r="L183">
        <v>32</v>
      </c>
      <c r="M183" t="s">
        <v>228</v>
      </c>
      <c r="N183" s="6" t="s">
        <v>2225</v>
      </c>
      <c r="R183">
        <v>5</v>
      </c>
      <c r="S183">
        <v>32</v>
      </c>
      <c r="T183" t="s">
        <v>1807</v>
      </c>
      <c r="U183" t="s">
        <v>2009</v>
      </c>
      <c r="V183" t="s">
        <v>2024</v>
      </c>
      <c r="W183" t="s">
        <v>2015</v>
      </c>
      <c r="X183" t="s">
        <v>3039</v>
      </c>
    </row>
    <row r="184" spans="1:24" x14ac:dyDescent="0.3">
      <c r="A184" t="s">
        <v>1032</v>
      </c>
      <c r="B184" t="s">
        <v>412</v>
      </c>
      <c r="C184" t="s">
        <v>431</v>
      </c>
      <c r="D184">
        <v>36.1</v>
      </c>
      <c r="F184">
        <v>51.4</v>
      </c>
      <c r="G184" s="11"/>
      <c r="H184" t="s">
        <v>383</v>
      </c>
      <c r="I184" t="s">
        <v>383</v>
      </c>
      <c r="J184" t="s">
        <v>383</v>
      </c>
      <c r="K184">
        <v>5</v>
      </c>
      <c r="L184">
        <v>29</v>
      </c>
      <c r="M184" t="s">
        <v>228</v>
      </c>
      <c r="N184" s="6" t="s">
        <v>2270</v>
      </c>
      <c r="R184">
        <v>5</v>
      </c>
      <c r="S184">
        <v>29</v>
      </c>
      <c r="T184" t="s">
        <v>618</v>
      </c>
      <c r="U184" t="s">
        <v>2009</v>
      </c>
      <c r="V184" t="s">
        <v>2024</v>
      </c>
      <c r="W184" t="s">
        <v>2016</v>
      </c>
      <c r="X184" t="s">
        <v>2039</v>
      </c>
    </row>
    <row r="185" spans="1:24" ht="15.6" customHeight="1" x14ac:dyDescent="0.3">
      <c r="A185" t="s">
        <v>951</v>
      </c>
      <c r="B185" t="s">
        <v>113</v>
      </c>
      <c r="C185" t="s">
        <v>299</v>
      </c>
      <c r="D185">
        <v>33.485999999999997</v>
      </c>
      <c r="E185">
        <v>10061</v>
      </c>
      <c r="F185">
        <v>53.6</v>
      </c>
      <c r="G185" s="11"/>
      <c r="H185" t="s">
        <v>1746</v>
      </c>
      <c r="I185">
        <v>10050</v>
      </c>
      <c r="J185">
        <v>4864145</v>
      </c>
      <c r="K185">
        <v>5</v>
      </c>
      <c r="L185">
        <v>32</v>
      </c>
      <c r="M185" t="s">
        <v>227</v>
      </c>
      <c r="N185" s="6" t="s">
        <v>2271</v>
      </c>
      <c r="R185">
        <v>5</v>
      </c>
      <c r="S185">
        <v>32</v>
      </c>
      <c r="T185" t="s">
        <v>618</v>
      </c>
      <c r="U185" t="s">
        <v>2009</v>
      </c>
      <c r="V185" t="s">
        <v>2024</v>
      </c>
      <c r="W185" t="s">
        <v>2016</v>
      </c>
      <c r="X185" t="s">
        <v>2039</v>
      </c>
    </row>
    <row r="186" spans="1:24" x14ac:dyDescent="0.3">
      <c r="A186" t="s">
        <v>952</v>
      </c>
      <c r="B186" t="s">
        <v>41</v>
      </c>
      <c r="D186">
        <v>32.268999999999998</v>
      </c>
      <c r="E186">
        <v>9651</v>
      </c>
      <c r="F186">
        <v>51.4</v>
      </c>
      <c r="G186" s="11"/>
      <c r="H186" t="s">
        <v>1746</v>
      </c>
      <c r="I186">
        <v>9651</v>
      </c>
      <c r="J186">
        <v>4871481</v>
      </c>
      <c r="K186">
        <v>7</v>
      </c>
      <c r="L186">
        <v>32</v>
      </c>
      <c r="M186" t="s">
        <v>226</v>
      </c>
      <c r="N186" s="6" t="s">
        <v>2272</v>
      </c>
      <c r="R186">
        <v>7</v>
      </c>
      <c r="S186">
        <v>32</v>
      </c>
      <c r="T186" t="s">
        <v>618</v>
      </c>
      <c r="U186" t="s">
        <v>2009</v>
      </c>
      <c r="V186" t="s">
        <v>2024</v>
      </c>
      <c r="W186" t="s">
        <v>2016</v>
      </c>
      <c r="X186" t="s">
        <v>2039</v>
      </c>
    </row>
    <row r="187" spans="1:24" x14ac:dyDescent="0.3">
      <c r="A187" t="s">
        <v>953</v>
      </c>
      <c r="B187" t="s">
        <v>570</v>
      </c>
      <c r="D187">
        <v>33.299999999999997</v>
      </c>
      <c r="E187">
        <v>10844</v>
      </c>
      <c r="F187">
        <v>54</v>
      </c>
      <c r="G187" s="11"/>
      <c r="H187" t="s">
        <v>340</v>
      </c>
      <c r="I187">
        <v>10628</v>
      </c>
      <c r="J187">
        <v>4868826</v>
      </c>
      <c r="K187">
        <v>12</v>
      </c>
      <c r="L187">
        <v>46</v>
      </c>
      <c r="M187" t="s">
        <v>227</v>
      </c>
      <c r="N187" s="6" t="s">
        <v>2164</v>
      </c>
      <c r="R187">
        <v>12</v>
      </c>
      <c r="S187">
        <v>46</v>
      </c>
      <c r="T187" t="s">
        <v>1808</v>
      </c>
      <c r="U187" t="s">
        <v>2009</v>
      </c>
      <c r="V187" t="s">
        <v>2024</v>
      </c>
      <c r="W187" t="s">
        <v>2016</v>
      </c>
      <c r="X187" t="s">
        <v>2039</v>
      </c>
    </row>
    <row r="188" spans="1:24" ht="15.6" customHeight="1" x14ac:dyDescent="0.3">
      <c r="A188" t="s">
        <v>1273</v>
      </c>
      <c r="B188" t="s">
        <v>1750</v>
      </c>
      <c r="D188">
        <v>44.845999999999997</v>
      </c>
      <c r="E188">
        <v>17166</v>
      </c>
      <c r="F188">
        <v>51</v>
      </c>
      <c r="G188" s="11"/>
      <c r="H188" t="s">
        <v>3707</v>
      </c>
      <c r="I188">
        <v>17166</v>
      </c>
      <c r="J188">
        <v>7205290</v>
      </c>
      <c r="K188">
        <v>13</v>
      </c>
      <c r="L188">
        <v>38</v>
      </c>
      <c r="M188" t="s">
        <v>226</v>
      </c>
      <c r="N188" s="6" t="s">
        <v>2273</v>
      </c>
      <c r="O188">
        <v>6</v>
      </c>
      <c r="P188">
        <v>36</v>
      </c>
      <c r="Q188">
        <v>8</v>
      </c>
      <c r="R188">
        <v>6</v>
      </c>
      <c r="S188">
        <v>38</v>
      </c>
      <c r="T188" t="s">
        <v>1809</v>
      </c>
      <c r="U188" t="s">
        <v>2009</v>
      </c>
      <c r="V188" t="s">
        <v>2024</v>
      </c>
      <c r="W188" t="s">
        <v>2016</v>
      </c>
      <c r="X188" t="s">
        <v>2039</v>
      </c>
    </row>
    <row r="189" spans="1:24" x14ac:dyDescent="0.3">
      <c r="A189" t="s">
        <v>954</v>
      </c>
      <c r="B189" t="s">
        <v>42</v>
      </c>
      <c r="D189">
        <v>76.566999999999993</v>
      </c>
      <c r="E189">
        <v>13903</v>
      </c>
      <c r="F189">
        <v>41.95</v>
      </c>
      <c r="G189" s="11"/>
      <c r="H189" t="s">
        <v>1746</v>
      </c>
      <c r="I189">
        <v>13711</v>
      </c>
      <c r="J189">
        <v>4552491</v>
      </c>
      <c r="K189">
        <v>8</v>
      </c>
      <c r="L189">
        <v>37</v>
      </c>
      <c r="M189" t="s">
        <v>226</v>
      </c>
      <c r="N189" s="6" t="s">
        <v>2274</v>
      </c>
      <c r="R189">
        <v>8</v>
      </c>
      <c r="S189">
        <v>37</v>
      </c>
      <c r="T189" t="s">
        <v>1810</v>
      </c>
      <c r="U189" t="s">
        <v>2009</v>
      </c>
      <c r="V189" t="s">
        <v>2024</v>
      </c>
      <c r="W189" t="s">
        <v>2015</v>
      </c>
      <c r="X189" t="s">
        <v>3046</v>
      </c>
    </row>
    <row r="190" spans="1:24" x14ac:dyDescent="0.3">
      <c r="A190" t="s">
        <v>955</v>
      </c>
      <c r="B190" t="s">
        <v>265</v>
      </c>
      <c r="D190">
        <v>211.63</v>
      </c>
      <c r="E190">
        <v>14868</v>
      </c>
      <c r="F190">
        <v>41.4</v>
      </c>
      <c r="G190" s="11"/>
      <c r="H190" t="s">
        <v>3707</v>
      </c>
      <c r="I190">
        <v>14868</v>
      </c>
      <c r="J190">
        <v>5534495</v>
      </c>
      <c r="K190">
        <v>5</v>
      </c>
      <c r="L190">
        <v>25</v>
      </c>
      <c r="M190" t="s">
        <v>227</v>
      </c>
      <c r="N190" s="6" t="s">
        <v>2275</v>
      </c>
      <c r="O190">
        <v>0.5</v>
      </c>
      <c r="P190">
        <v>26.7</v>
      </c>
      <c r="Q190">
        <v>11</v>
      </c>
      <c r="R190">
        <v>0.5</v>
      </c>
      <c r="S190">
        <v>26.7</v>
      </c>
      <c r="T190" t="s">
        <v>1810</v>
      </c>
      <c r="U190" t="s">
        <v>2009</v>
      </c>
      <c r="V190" t="s">
        <v>2024</v>
      </c>
      <c r="W190" t="s">
        <v>2015</v>
      </c>
      <c r="X190" t="s">
        <v>3046</v>
      </c>
    </row>
    <row r="191" spans="1:24" x14ac:dyDescent="0.3">
      <c r="A191" t="s">
        <v>956</v>
      </c>
      <c r="B191" t="s">
        <v>523</v>
      </c>
      <c r="D191">
        <v>51.658999999999999</v>
      </c>
      <c r="E191">
        <v>9404</v>
      </c>
      <c r="F191">
        <v>53.8</v>
      </c>
      <c r="G191" s="11"/>
      <c r="H191" t="s">
        <v>340</v>
      </c>
      <c r="I191">
        <v>9378</v>
      </c>
      <c r="J191">
        <v>4427974</v>
      </c>
      <c r="K191">
        <v>-10</v>
      </c>
      <c r="L191">
        <v>27</v>
      </c>
      <c r="M191" t="s">
        <v>226</v>
      </c>
      <c r="N191" s="6" t="s">
        <v>2276</v>
      </c>
      <c r="R191">
        <v>-10</v>
      </c>
      <c r="S191">
        <v>27</v>
      </c>
      <c r="T191" t="s">
        <v>619</v>
      </c>
      <c r="U191" t="s">
        <v>2009</v>
      </c>
      <c r="V191" t="s">
        <v>2024</v>
      </c>
      <c r="W191" t="s">
        <v>2016</v>
      </c>
      <c r="X191" t="s">
        <v>2039</v>
      </c>
    </row>
    <row r="192" spans="1:24" x14ac:dyDescent="0.3">
      <c r="A192" t="s">
        <v>957</v>
      </c>
      <c r="B192" t="s">
        <v>526</v>
      </c>
      <c r="D192">
        <v>44.137</v>
      </c>
      <c r="E192">
        <v>13960</v>
      </c>
      <c r="F192">
        <v>53.9</v>
      </c>
      <c r="G192" s="11"/>
      <c r="H192" t="s">
        <v>1746</v>
      </c>
      <c r="I192">
        <v>13291</v>
      </c>
      <c r="J192">
        <v>6038804</v>
      </c>
      <c r="K192">
        <v>-7</v>
      </c>
      <c r="L192">
        <v>28</v>
      </c>
      <c r="M192" t="s">
        <v>226</v>
      </c>
      <c r="N192" s="6" t="s">
        <v>2276</v>
      </c>
      <c r="R192">
        <v>-7</v>
      </c>
      <c r="S192">
        <v>28</v>
      </c>
      <c r="T192" t="s">
        <v>619</v>
      </c>
      <c r="U192" t="s">
        <v>2009</v>
      </c>
      <c r="V192" t="s">
        <v>2024</v>
      </c>
      <c r="W192" t="s">
        <v>2016</v>
      </c>
      <c r="X192" t="s">
        <v>2039</v>
      </c>
    </row>
    <row r="193" spans="1:24" ht="15.6" customHeight="1" x14ac:dyDescent="0.3">
      <c r="A193" t="s">
        <v>958</v>
      </c>
      <c r="B193" t="s">
        <v>344</v>
      </c>
      <c r="D193">
        <v>43.87</v>
      </c>
      <c r="E193">
        <v>11609</v>
      </c>
      <c r="F193">
        <v>50.8</v>
      </c>
      <c r="G193" s="11"/>
      <c r="H193" t="s">
        <v>1746</v>
      </c>
      <c r="I193">
        <v>11564</v>
      </c>
      <c r="J193">
        <v>4890805</v>
      </c>
      <c r="K193">
        <v>5</v>
      </c>
      <c r="L193">
        <v>36</v>
      </c>
      <c r="M193" t="s">
        <v>228</v>
      </c>
      <c r="N193" s="6" t="s">
        <v>2277</v>
      </c>
      <c r="O193">
        <v>4.5</v>
      </c>
      <c r="P193">
        <v>38.75</v>
      </c>
      <c r="Q193">
        <v>24</v>
      </c>
      <c r="R193">
        <v>4.5</v>
      </c>
      <c r="S193">
        <v>38.75</v>
      </c>
      <c r="T193" t="s">
        <v>1811</v>
      </c>
      <c r="U193" t="s">
        <v>2009</v>
      </c>
      <c r="V193" t="s">
        <v>2024</v>
      </c>
      <c r="W193" t="s">
        <v>2016</v>
      </c>
      <c r="X193" t="s">
        <v>2039</v>
      </c>
    </row>
    <row r="194" spans="1:24" x14ac:dyDescent="0.3">
      <c r="A194" t="s">
        <v>1498</v>
      </c>
      <c r="B194" t="s">
        <v>3760</v>
      </c>
      <c r="D194">
        <v>40.6</v>
      </c>
      <c r="F194">
        <v>53.5</v>
      </c>
      <c r="G194" s="11"/>
      <c r="H194" t="s">
        <v>383</v>
      </c>
      <c r="I194" t="s">
        <v>383</v>
      </c>
      <c r="J194" t="s">
        <v>383</v>
      </c>
      <c r="M194" t="s">
        <v>1691</v>
      </c>
      <c r="N194" s="6" t="s">
        <v>2168</v>
      </c>
      <c r="O194">
        <v>8.5</v>
      </c>
      <c r="P194">
        <v>32</v>
      </c>
      <c r="Q194">
        <v>3</v>
      </c>
      <c r="R194">
        <v>8.5</v>
      </c>
      <c r="S194">
        <v>32</v>
      </c>
      <c r="T194" t="s">
        <v>1811</v>
      </c>
      <c r="U194" t="s">
        <v>2009</v>
      </c>
      <c r="V194" t="s">
        <v>2024</v>
      </c>
      <c r="W194" t="s">
        <v>2016</v>
      </c>
      <c r="X194" t="s">
        <v>2039</v>
      </c>
    </row>
    <row r="195" spans="1:24" x14ac:dyDescent="0.3">
      <c r="A195" t="s">
        <v>1698</v>
      </c>
      <c r="B195" t="s">
        <v>1726</v>
      </c>
      <c r="D195">
        <v>19.100000000000001</v>
      </c>
      <c r="E195">
        <v>7004</v>
      </c>
      <c r="F195">
        <v>48.5</v>
      </c>
      <c r="G195" s="11"/>
      <c r="H195" t="s">
        <v>1746</v>
      </c>
      <c r="I195">
        <v>6604</v>
      </c>
      <c r="J195">
        <v>3564964</v>
      </c>
      <c r="K195">
        <v>15</v>
      </c>
      <c r="L195">
        <v>39</v>
      </c>
      <c r="M195" t="s">
        <v>236</v>
      </c>
      <c r="N195" s="6" t="s">
        <v>2278</v>
      </c>
      <c r="R195">
        <v>15</v>
      </c>
      <c r="S195">
        <v>39</v>
      </c>
      <c r="T195" t="s">
        <v>1812</v>
      </c>
      <c r="U195" t="s">
        <v>2009</v>
      </c>
      <c r="V195" t="s">
        <v>2024</v>
      </c>
      <c r="W195" t="s">
        <v>2015</v>
      </c>
      <c r="X195" t="s">
        <v>3043</v>
      </c>
    </row>
    <row r="196" spans="1:24" x14ac:dyDescent="0.3">
      <c r="A196" t="s">
        <v>1721</v>
      </c>
      <c r="B196" t="s">
        <v>815</v>
      </c>
      <c r="C196" t="s">
        <v>814</v>
      </c>
      <c r="D196">
        <v>35.218000000000004</v>
      </c>
      <c r="E196">
        <v>12529</v>
      </c>
      <c r="F196">
        <v>55.77</v>
      </c>
      <c r="G196" s="11"/>
      <c r="H196" t="s">
        <v>340</v>
      </c>
      <c r="I196">
        <v>12530</v>
      </c>
      <c r="J196">
        <v>5565318</v>
      </c>
      <c r="K196">
        <v>15</v>
      </c>
      <c r="L196">
        <v>32</v>
      </c>
      <c r="M196" t="s">
        <v>226</v>
      </c>
      <c r="N196" s="6" t="s">
        <v>2279</v>
      </c>
      <c r="O196">
        <v>15</v>
      </c>
      <c r="P196">
        <v>45</v>
      </c>
      <c r="Q196">
        <v>3</v>
      </c>
      <c r="R196">
        <v>15</v>
      </c>
      <c r="S196">
        <v>45</v>
      </c>
      <c r="T196" t="s">
        <v>2026</v>
      </c>
      <c r="U196" t="s">
        <v>2009</v>
      </c>
      <c r="V196" t="s">
        <v>2024</v>
      </c>
      <c r="W196" t="s">
        <v>2015</v>
      </c>
      <c r="X196" t="s">
        <v>3039</v>
      </c>
    </row>
    <row r="197" spans="1:24" x14ac:dyDescent="0.3">
      <c r="A197" t="s">
        <v>963</v>
      </c>
      <c r="B197" t="s">
        <v>528</v>
      </c>
      <c r="D197">
        <v>32.36</v>
      </c>
      <c r="E197">
        <v>10170</v>
      </c>
      <c r="F197">
        <v>50.646999999999998</v>
      </c>
      <c r="G197" s="11"/>
      <c r="H197" t="s">
        <v>1746</v>
      </c>
      <c r="I197">
        <v>10140</v>
      </c>
      <c r="J197">
        <v>5537149</v>
      </c>
      <c r="K197">
        <v>5</v>
      </c>
      <c r="L197">
        <v>38</v>
      </c>
      <c r="M197" t="s">
        <v>228</v>
      </c>
      <c r="N197" s="6" t="s">
        <v>2280</v>
      </c>
      <c r="O197" s="14"/>
      <c r="P197" s="14"/>
      <c r="R197">
        <v>5</v>
      </c>
      <c r="S197">
        <v>38</v>
      </c>
      <c r="T197" t="s">
        <v>620</v>
      </c>
      <c r="U197" t="s">
        <v>2009</v>
      </c>
      <c r="V197" t="s">
        <v>2024</v>
      </c>
      <c r="W197" t="s">
        <v>2016</v>
      </c>
      <c r="X197" t="s">
        <v>2039</v>
      </c>
    </row>
    <row r="198" spans="1:24" ht="15.6" customHeight="1" x14ac:dyDescent="0.3">
      <c r="A198" t="s">
        <v>867</v>
      </c>
      <c r="B198" t="s">
        <v>529</v>
      </c>
      <c r="C198" t="s">
        <v>530</v>
      </c>
      <c r="D198">
        <v>30.043199999999999</v>
      </c>
      <c r="F198">
        <v>51.2</v>
      </c>
      <c r="G198" s="11"/>
      <c r="H198" t="s">
        <v>383</v>
      </c>
      <c r="I198" t="s">
        <v>383</v>
      </c>
      <c r="J198" t="s">
        <v>383</v>
      </c>
      <c r="K198">
        <v>8</v>
      </c>
      <c r="L198">
        <v>38</v>
      </c>
      <c r="M198" t="s">
        <v>228</v>
      </c>
      <c r="N198" s="6" t="s">
        <v>2280</v>
      </c>
      <c r="R198">
        <v>8</v>
      </c>
      <c r="S198">
        <v>38</v>
      </c>
      <c r="T198" t="s">
        <v>620</v>
      </c>
      <c r="U198" t="s">
        <v>2009</v>
      </c>
      <c r="V198" t="s">
        <v>2024</v>
      </c>
      <c r="W198" t="s">
        <v>2016</v>
      </c>
      <c r="X198" t="s">
        <v>2039</v>
      </c>
    </row>
    <row r="199" spans="1:24" ht="15.6" customHeight="1" x14ac:dyDescent="0.3">
      <c r="A199" t="s">
        <v>1338</v>
      </c>
      <c r="B199" t="s">
        <v>3761</v>
      </c>
      <c r="D199">
        <v>33.299999999999997</v>
      </c>
      <c r="E199">
        <v>11686</v>
      </c>
      <c r="F199">
        <v>52</v>
      </c>
      <c r="G199" s="11"/>
      <c r="H199" t="s">
        <v>1746</v>
      </c>
      <c r="I199">
        <v>11490</v>
      </c>
      <c r="J199">
        <v>5622490</v>
      </c>
      <c r="M199" t="s">
        <v>1691</v>
      </c>
      <c r="N199" s="6" t="s">
        <v>2168</v>
      </c>
      <c r="O199">
        <v>7.5</v>
      </c>
      <c r="P199">
        <v>35</v>
      </c>
      <c r="Q199">
        <v>6</v>
      </c>
      <c r="R199">
        <v>7.5</v>
      </c>
      <c r="S199">
        <v>35</v>
      </c>
      <c r="T199" t="s">
        <v>620</v>
      </c>
      <c r="U199" t="s">
        <v>2009</v>
      </c>
      <c r="V199" t="s">
        <v>2024</v>
      </c>
      <c r="W199" t="s">
        <v>2016</v>
      </c>
      <c r="X199" t="s">
        <v>2039</v>
      </c>
    </row>
    <row r="200" spans="1:24" x14ac:dyDescent="0.3">
      <c r="A200" t="s">
        <v>1741</v>
      </c>
      <c r="B200" t="s">
        <v>3762</v>
      </c>
      <c r="C200" t="s">
        <v>1728</v>
      </c>
      <c r="D200">
        <v>31.170999999999999</v>
      </c>
      <c r="E200">
        <v>12131</v>
      </c>
      <c r="F200">
        <v>50.5</v>
      </c>
      <c r="G200" s="11"/>
      <c r="H200" t="s">
        <v>3707</v>
      </c>
      <c r="I200">
        <v>12131</v>
      </c>
      <c r="J200">
        <v>5371032</v>
      </c>
      <c r="K200">
        <v>20</v>
      </c>
      <c r="L200">
        <v>35</v>
      </c>
      <c r="M200" t="s">
        <v>236</v>
      </c>
      <c r="N200" s="6" t="s">
        <v>2281</v>
      </c>
      <c r="R200">
        <v>20</v>
      </c>
      <c r="S200">
        <v>35</v>
      </c>
      <c r="T200" t="s">
        <v>620</v>
      </c>
      <c r="U200" t="s">
        <v>2009</v>
      </c>
      <c r="V200" t="s">
        <v>2024</v>
      </c>
      <c r="W200" t="s">
        <v>2016</v>
      </c>
      <c r="X200" t="s">
        <v>2039</v>
      </c>
    </row>
    <row r="201" spans="1:24" x14ac:dyDescent="0.3">
      <c r="A201" t="s">
        <v>1478</v>
      </c>
      <c r="B201" t="s">
        <v>3763</v>
      </c>
      <c r="D201">
        <v>41.68</v>
      </c>
      <c r="E201">
        <v>13649</v>
      </c>
      <c r="F201">
        <v>49.74</v>
      </c>
      <c r="G201" s="11"/>
      <c r="H201" t="s">
        <v>383</v>
      </c>
      <c r="I201" t="s">
        <v>383</v>
      </c>
      <c r="J201" t="s">
        <v>383</v>
      </c>
      <c r="M201" t="s">
        <v>1691</v>
      </c>
      <c r="N201" s="6" t="s">
        <v>2168</v>
      </c>
      <c r="O201">
        <v>7</v>
      </c>
      <c r="P201">
        <v>40</v>
      </c>
      <c r="Q201">
        <v>19</v>
      </c>
      <c r="R201">
        <v>7</v>
      </c>
      <c r="S201">
        <v>40</v>
      </c>
      <c r="T201" t="s">
        <v>620</v>
      </c>
      <c r="U201" t="s">
        <v>2009</v>
      </c>
      <c r="V201" t="s">
        <v>2024</v>
      </c>
      <c r="W201" t="s">
        <v>2016</v>
      </c>
      <c r="X201" t="s">
        <v>2039</v>
      </c>
    </row>
    <row r="202" spans="1:24" x14ac:dyDescent="0.3">
      <c r="A202" t="s">
        <v>1237</v>
      </c>
      <c r="B202" t="s">
        <v>297</v>
      </c>
      <c r="C202" t="s">
        <v>366</v>
      </c>
      <c r="D202">
        <v>30.45</v>
      </c>
      <c r="E202">
        <v>5704</v>
      </c>
      <c r="F202">
        <v>57.64</v>
      </c>
      <c r="G202" s="8" t="s">
        <v>2089</v>
      </c>
      <c r="H202" t="s">
        <v>383</v>
      </c>
      <c r="I202" t="s">
        <v>383</v>
      </c>
      <c r="J202" t="s">
        <v>383</v>
      </c>
      <c r="K202">
        <v>14</v>
      </c>
      <c r="L202">
        <v>38</v>
      </c>
      <c r="M202" t="s">
        <v>227</v>
      </c>
      <c r="N202" s="6" t="s">
        <v>2282</v>
      </c>
      <c r="R202">
        <v>14</v>
      </c>
      <c r="S202">
        <v>38</v>
      </c>
      <c r="T202" t="s">
        <v>621</v>
      </c>
      <c r="U202" t="s">
        <v>2009</v>
      </c>
      <c r="V202" t="s">
        <v>2024</v>
      </c>
      <c r="W202" t="s">
        <v>2015</v>
      </c>
      <c r="X202" t="s">
        <v>3043</v>
      </c>
    </row>
    <row r="203" spans="1:24" x14ac:dyDescent="0.3">
      <c r="A203" t="s">
        <v>964</v>
      </c>
      <c r="B203" t="s">
        <v>175</v>
      </c>
      <c r="C203" t="s">
        <v>549</v>
      </c>
      <c r="D203">
        <v>13.018000000000001</v>
      </c>
      <c r="E203">
        <v>6038</v>
      </c>
      <c r="F203">
        <v>44.5</v>
      </c>
      <c r="G203" s="11"/>
      <c r="H203" t="s">
        <v>1746</v>
      </c>
      <c r="I203">
        <v>5994</v>
      </c>
      <c r="J203">
        <v>2597173</v>
      </c>
      <c r="K203">
        <v>19</v>
      </c>
      <c r="L203">
        <v>37</v>
      </c>
      <c r="M203" t="s">
        <v>227</v>
      </c>
      <c r="N203" s="6" t="s">
        <v>2283</v>
      </c>
      <c r="R203">
        <v>19</v>
      </c>
      <c r="S203">
        <v>37</v>
      </c>
      <c r="T203" t="s">
        <v>1813</v>
      </c>
      <c r="U203" t="s">
        <v>2009</v>
      </c>
      <c r="V203" t="s">
        <v>2024</v>
      </c>
      <c r="W203" t="s">
        <v>2016</v>
      </c>
      <c r="X203" t="s">
        <v>3045</v>
      </c>
    </row>
    <row r="204" spans="1:24" x14ac:dyDescent="0.3">
      <c r="A204" t="s">
        <v>832</v>
      </c>
      <c r="B204" t="s">
        <v>313</v>
      </c>
      <c r="C204" t="s">
        <v>780</v>
      </c>
      <c r="D204">
        <v>54.9</v>
      </c>
      <c r="E204">
        <v>22535</v>
      </c>
      <c r="F204">
        <v>50.55</v>
      </c>
      <c r="G204" s="8" t="s">
        <v>2058</v>
      </c>
      <c r="H204" t="s">
        <v>1746</v>
      </c>
      <c r="I204">
        <v>13316</v>
      </c>
      <c r="J204">
        <v>6258879</v>
      </c>
      <c r="K204">
        <v>14</v>
      </c>
      <c r="L204">
        <v>31</v>
      </c>
      <c r="M204" t="s">
        <v>237</v>
      </c>
      <c r="N204" s="6" t="s">
        <v>2284</v>
      </c>
      <c r="R204">
        <v>14</v>
      </c>
      <c r="S204">
        <v>31</v>
      </c>
      <c r="T204" t="s">
        <v>622</v>
      </c>
      <c r="U204" t="s">
        <v>2009</v>
      </c>
      <c r="V204" t="s">
        <v>2024</v>
      </c>
      <c r="W204" t="s">
        <v>2015</v>
      </c>
      <c r="X204" t="s">
        <v>3039</v>
      </c>
    </row>
    <row r="205" spans="1:24" ht="16.2" customHeight="1" x14ac:dyDescent="0.3">
      <c r="A205" t="s">
        <v>965</v>
      </c>
      <c r="B205" t="s">
        <v>241</v>
      </c>
      <c r="C205" t="s">
        <v>574</v>
      </c>
      <c r="D205">
        <v>29.71</v>
      </c>
      <c r="E205">
        <v>11307</v>
      </c>
      <c r="F205">
        <v>43.09</v>
      </c>
      <c r="G205" s="8" t="s">
        <v>2090</v>
      </c>
      <c r="H205" t="s">
        <v>383</v>
      </c>
      <c r="I205" t="s">
        <v>383</v>
      </c>
      <c r="J205" t="s">
        <v>383</v>
      </c>
      <c r="K205">
        <v>31</v>
      </c>
      <c r="L205">
        <v>45</v>
      </c>
      <c r="M205" t="s">
        <v>227</v>
      </c>
      <c r="N205" s="6" t="s">
        <v>2285</v>
      </c>
      <c r="R205">
        <v>31</v>
      </c>
      <c r="S205">
        <v>45</v>
      </c>
      <c r="T205" t="s">
        <v>1814</v>
      </c>
      <c r="U205" t="s">
        <v>2009</v>
      </c>
      <c r="V205" t="s">
        <v>2024</v>
      </c>
      <c r="W205" t="s">
        <v>2016</v>
      </c>
      <c r="X205" t="s">
        <v>3045</v>
      </c>
    </row>
    <row r="206" spans="1:24" x14ac:dyDescent="0.3">
      <c r="A206" t="s">
        <v>1176</v>
      </c>
      <c r="B206" t="s">
        <v>235</v>
      </c>
      <c r="C206" t="s">
        <v>354</v>
      </c>
      <c r="D206">
        <v>20.824999999999999</v>
      </c>
      <c r="E206">
        <v>7814</v>
      </c>
      <c r="F206">
        <v>51</v>
      </c>
      <c r="G206" s="11"/>
      <c r="H206" t="s">
        <v>340</v>
      </c>
      <c r="I206">
        <v>7814</v>
      </c>
      <c r="J206">
        <v>3844674</v>
      </c>
      <c r="K206">
        <v>4</v>
      </c>
      <c r="L206">
        <v>30</v>
      </c>
      <c r="M206" t="s">
        <v>227</v>
      </c>
      <c r="N206" s="6" t="s">
        <v>2286</v>
      </c>
      <c r="R206">
        <v>4</v>
      </c>
      <c r="S206">
        <v>30</v>
      </c>
      <c r="T206" t="s">
        <v>1815</v>
      </c>
      <c r="U206" t="s">
        <v>2009</v>
      </c>
      <c r="V206" t="s">
        <v>2024</v>
      </c>
      <c r="W206" t="s">
        <v>2015</v>
      </c>
      <c r="X206" t="s">
        <v>3042</v>
      </c>
    </row>
    <row r="207" spans="1:24" x14ac:dyDescent="0.3">
      <c r="A207" t="s">
        <v>966</v>
      </c>
      <c r="B207" t="s">
        <v>251</v>
      </c>
      <c r="D207">
        <v>20.020299999999999</v>
      </c>
      <c r="E207">
        <v>7227</v>
      </c>
      <c r="F207">
        <v>49.2</v>
      </c>
      <c r="G207" s="8" t="s">
        <v>2091</v>
      </c>
      <c r="H207" t="s">
        <v>383</v>
      </c>
      <c r="I207" t="s">
        <v>383</v>
      </c>
      <c r="J207" t="s">
        <v>383</v>
      </c>
      <c r="K207">
        <v>-3</v>
      </c>
      <c r="L207">
        <v>30</v>
      </c>
      <c r="M207" t="s">
        <v>236</v>
      </c>
      <c r="N207" s="6" t="s">
        <v>2287</v>
      </c>
      <c r="R207">
        <v>-3</v>
      </c>
      <c r="S207">
        <v>30</v>
      </c>
      <c r="T207" t="s">
        <v>1815</v>
      </c>
      <c r="U207" t="s">
        <v>2009</v>
      </c>
      <c r="V207" t="s">
        <v>2024</v>
      </c>
      <c r="W207" t="s">
        <v>2015</v>
      </c>
      <c r="X207" t="s">
        <v>3042</v>
      </c>
    </row>
    <row r="208" spans="1:24" x14ac:dyDescent="0.3">
      <c r="A208" t="s">
        <v>967</v>
      </c>
      <c r="B208" t="s">
        <v>252</v>
      </c>
      <c r="D208">
        <v>21.539000000000001</v>
      </c>
      <c r="F208">
        <v>50.1</v>
      </c>
      <c r="G208" s="11"/>
      <c r="H208" t="s">
        <v>383</v>
      </c>
      <c r="I208" t="s">
        <v>383</v>
      </c>
      <c r="J208" t="s">
        <v>383</v>
      </c>
      <c r="K208">
        <v>-3</v>
      </c>
      <c r="L208">
        <v>25</v>
      </c>
      <c r="M208" t="s">
        <v>236</v>
      </c>
      <c r="N208" s="6" t="s">
        <v>2287</v>
      </c>
      <c r="O208" s="14"/>
      <c r="P208" s="14"/>
      <c r="R208">
        <v>-3</v>
      </c>
      <c r="S208">
        <v>25</v>
      </c>
      <c r="T208" t="s">
        <v>1815</v>
      </c>
      <c r="U208" t="s">
        <v>2009</v>
      </c>
      <c r="V208" t="s">
        <v>2024</v>
      </c>
      <c r="W208" t="s">
        <v>2015</v>
      </c>
      <c r="X208" t="s">
        <v>3042</v>
      </c>
    </row>
    <row r="209" spans="1:24" ht="15.6" customHeight="1" x14ac:dyDescent="0.3">
      <c r="A209" t="s">
        <v>1395</v>
      </c>
      <c r="B209" t="s">
        <v>3764</v>
      </c>
      <c r="C209" t="s">
        <v>735</v>
      </c>
      <c r="D209">
        <v>36.552999999999997</v>
      </c>
      <c r="E209">
        <v>10847</v>
      </c>
      <c r="F209">
        <v>52</v>
      </c>
      <c r="G209" s="11"/>
      <c r="H209" t="s">
        <v>1746</v>
      </c>
      <c r="I209">
        <v>9818</v>
      </c>
      <c r="J209">
        <v>4954655</v>
      </c>
      <c r="M209" t="s">
        <v>1691</v>
      </c>
      <c r="N209" s="6" t="s">
        <v>2168</v>
      </c>
      <c r="O209">
        <v>3</v>
      </c>
      <c r="P209">
        <v>35</v>
      </c>
      <c r="Q209">
        <v>3</v>
      </c>
      <c r="R209">
        <v>3</v>
      </c>
      <c r="S209">
        <v>35</v>
      </c>
      <c r="T209" t="s">
        <v>675</v>
      </c>
      <c r="U209" t="s">
        <v>2009</v>
      </c>
      <c r="V209" t="s">
        <v>2024</v>
      </c>
      <c r="W209" t="s">
        <v>2016</v>
      </c>
      <c r="X209" t="s">
        <v>2039</v>
      </c>
    </row>
    <row r="210" spans="1:24" ht="15.6" customHeight="1" x14ac:dyDescent="0.3">
      <c r="A210" t="s">
        <v>1339</v>
      </c>
      <c r="B210" t="s">
        <v>3765</v>
      </c>
      <c r="D210">
        <v>37.6</v>
      </c>
      <c r="E210">
        <v>10072</v>
      </c>
      <c r="F210">
        <v>52.5</v>
      </c>
      <c r="G210" s="11"/>
      <c r="H210" t="s">
        <v>1746</v>
      </c>
      <c r="I210">
        <v>10071</v>
      </c>
      <c r="J210">
        <v>5010871</v>
      </c>
      <c r="K210">
        <v>5</v>
      </c>
      <c r="L210">
        <v>40</v>
      </c>
      <c r="M210" t="s">
        <v>1691</v>
      </c>
      <c r="N210" s="6" t="s">
        <v>2168</v>
      </c>
      <c r="Q210">
        <v>14</v>
      </c>
      <c r="R210">
        <v>5</v>
      </c>
      <c r="S210">
        <v>40</v>
      </c>
      <c r="T210" t="s">
        <v>1816</v>
      </c>
      <c r="U210" t="s">
        <v>2009</v>
      </c>
      <c r="V210" t="s">
        <v>2024</v>
      </c>
      <c r="W210" t="s">
        <v>2016</v>
      </c>
      <c r="X210" t="s">
        <v>2039</v>
      </c>
    </row>
    <row r="211" spans="1:24" x14ac:dyDescent="0.3">
      <c r="A211" t="s">
        <v>1394</v>
      </c>
      <c r="B211" t="s">
        <v>734</v>
      </c>
      <c r="D211">
        <v>44.725000000000001</v>
      </c>
      <c r="E211">
        <v>11165</v>
      </c>
      <c r="F211">
        <v>49.5</v>
      </c>
      <c r="G211" s="11"/>
      <c r="H211" t="s">
        <v>1746</v>
      </c>
      <c r="I211">
        <v>10741</v>
      </c>
      <c r="J211">
        <v>5305359</v>
      </c>
      <c r="K211">
        <v>5</v>
      </c>
      <c r="L211">
        <v>35</v>
      </c>
      <c r="M211" t="s">
        <v>227</v>
      </c>
      <c r="N211" s="6" t="s">
        <v>2288</v>
      </c>
      <c r="O211">
        <v>7.5</v>
      </c>
      <c r="P211">
        <v>37.5</v>
      </c>
      <c r="Q211">
        <v>3</v>
      </c>
      <c r="R211">
        <v>5</v>
      </c>
      <c r="S211">
        <v>37.5</v>
      </c>
      <c r="T211" t="s">
        <v>1816</v>
      </c>
      <c r="U211" t="s">
        <v>2009</v>
      </c>
      <c r="V211" t="s">
        <v>2024</v>
      </c>
      <c r="W211" t="s">
        <v>2016</v>
      </c>
      <c r="X211" t="s">
        <v>2039</v>
      </c>
    </row>
    <row r="212" spans="1:24" x14ac:dyDescent="0.3">
      <c r="A212" t="s">
        <v>968</v>
      </c>
      <c r="B212" t="s">
        <v>403</v>
      </c>
      <c r="D212">
        <v>32.735999999999997</v>
      </c>
      <c r="E212">
        <v>12199</v>
      </c>
      <c r="F212">
        <v>54.8</v>
      </c>
      <c r="G212" s="11"/>
      <c r="H212" t="s">
        <v>1746</v>
      </c>
      <c r="I212">
        <v>12169</v>
      </c>
      <c r="J212">
        <v>4971605</v>
      </c>
      <c r="K212">
        <v>5</v>
      </c>
      <c r="L212">
        <v>44</v>
      </c>
      <c r="M212" t="s">
        <v>227</v>
      </c>
      <c r="N212" s="6" t="s">
        <v>2289</v>
      </c>
      <c r="O212">
        <v>10</v>
      </c>
      <c r="P212">
        <v>44</v>
      </c>
      <c r="Q212">
        <v>5</v>
      </c>
      <c r="R212">
        <v>5</v>
      </c>
      <c r="S212">
        <v>44</v>
      </c>
      <c r="T212" t="s">
        <v>630</v>
      </c>
      <c r="U212" t="s">
        <v>2009</v>
      </c>
      <c r="V212" t="s">
        <v>2024</v>
      </c>
      <c r="W212" t="s">
        <v>2015</v>
      </c>
      <c r="X212" t="s">
        <v>3039</v>
      </c>
    </row>
    <row r="213" spans="1:24" x14ac:dyDescent="0.3">
      <c r="A213" t="s">
        <v>969</v>
      </c>
      <c r="B213" t="s">
        <v>105</v>
      </c>
      <c r="D213">
        <f>AVERAGE(36.821,37.551)</f>
        <v>37.186</v>
      </c>
      <c r="E213">
        <f>AVERAGE(11046,11173)</f>
        <v>11109.5</v>
      </c>
      <c r="F213">
        <v>46.65</v>
      </c>
      <c r="G213" s="11"/>
      <c r="H213" t="s">
        <v>340</v>
      </c>
      <c r="I213">
        <v>10466</v>
      </c>
      <c r="J213">
        <v>5148898</v>
      </c>
      <c r="K213">
        <v>13</v>
      </c>
      <c r="L213">
        <v>42</v>
      </c>
      <c r="M213" t="s">
        <v>226</v>
      </c>
      <c r="N213" s="6" t="s">
        <v>2290</v>
      </c>
      <c r="R213">
        <v>13</v>
      </c>
      <c r="S213">
        <v>42</v>
      </c>
      <c r="T213" t="s">
        <v>1817</v>
      </c>
      <c r="U213" t="s">
        <v>2009</v>
      </c>
      <c r="V213" t="s">
        <v>2024</v>
      </c>
      <c r="W213" t="s">
        <v>2016</v>
      </c>
      <c r="X213" t="s">
        <v>2039</v>
      </c>
    </row>
    <row r="214" spans="1:24" x14ac:dyDescent="0.3">
      <c r="A214" t="s">
        <v>1222</v>
      </c>
      <c r="B214" t="s">
        <v>157</v>
      </c>
      <c r="D214">
        <v>9.2210000000000001</v>
      </c>
      <c r="E214">
        <v>4972</v>
      </c>
      <c r="F214">
        <v>42</v>
      </c>
      <c r="G214" s="11"/>
      <c r="H214" t="s">
        <v>1746</v>
      </c>
      <c r="I214">
        <v>4966</v>
      </c>
      <c r="J214">
        <v>2412323</v>
      </c>
      <c r="K214">
        <v>2.8</v>
      </c>
      <c r="L214">
        <v>40</v>
      </c>
      <c r="M214" t="s">
        <v>227</v>
      </c>
      <c r="N214" s="6" t="s">
        <v>2291</v>
      </c>
      <c r="R214">
        <v>2.8</v>
      </c>
      <c r="S214">
        <v>40</v>
      </c>
      <c r="T214" t="s">
        <v>1816</v>
      </c>
      <c r="U214" t="s">
        <v>2009</v>
      </c>
      <c r="V214" t="s">
        <v>2024</v>
      </c>
      <c r="W214" t="s">
        <v>2016</v>
      </c>
      <c r="X214" t="s">
        <v>2039</v>
      </c>
    </row>
    <row r="215" spans="1:24" ht="15.6" customHeight="1" x14ac:dyDescent="0.3">
      <c r="A215" t="s">
        <v>970</v>
      </c>
      <c r="B215" t="s">
        <v>139</v>
      </c>
      <c r="D215">
        <v>12.151999999999999</v>
      </c>
      <c r="E215">
        <v>6272</v>
      </c>
      <c r="F215">
        <v>36.299999999999997</v>
      </c>
      <c r="G215" s="11"/>
      <c r="H215" t="s">
        <v>1746</v>
      </c>
      <c r="I215">
        <v>6284</v>
      </c>
      <c r="J215">
        <v>3008975</v>
      </c>
      <c r="K215">
        <v>2</v>
      </c>
      <c r="L215">
        <v>38</v>
      </c>
      <c r="M215" t="s">
        <v>227</v>
      </c>
      <c r="N215" s="6" t="s">
        <v>2292</v>
      </c>
      <c r="R215">
        <v>2</v>
      </c>
      <c r="S215">
        <v>38</v>
      </c>
      <c r="T215" t="s">
        <v>1818</v>
      </c>
      <c r="U215" t="s">
        <v>2009</v>
      </c>
      <c r="V215" t="s">
        <v>2024</v>
      </c>
      <c r="W215" t="s">
        <v>2016</v>
      </c>
      <c r="X215" t="s">
        <v>3045</v>
      </c>
    </row>
    <row r="216" spans="1:24" x14ac:dyDescent="0.3">
      <c r="A216" t="s">
        <v>880</v>
      </c>
      <c r="B216" t="s">
        <v>109</v>
      </c>
      <c r="D216">
        <v>13.385</v>
      </c>
      <c r="E216">
        <v>5636</v>
      </c>
      <c r="F216">
        <v>39.9</v>
      </c>
      <c r="G216" s="11"/>
      <c r="H216" t="s">
        <v>1746</v>
      </c>
      <c r="I216">
        <v>4857</v>
      </c>
      <c r="J216">
        <v>1731709</v>
      </c>
      <c r="K216">
        <v>3</v>
      </c>
      <c r="L216">
        <v>31</v>
      </c>
      <c r="M216" t="s">
        <v>226</v>
      </c>
      <c r="N216" s="6" t="s">
        <v>2293</v>
      </c>
      <c r="R216">
        <v>3</v>
      </c>
      <c r="S216">
        <v>31</v>
      </c>
      <c r="T216" t="s">
        <v>1819</v>
      </c>
      <c r="U216" t="s">
        <v>2009</v>
      </c>
      <c r="V216" t="s">
        <v>2024</v>
      </c>
      <c r="W216" t="s">
        <v>2016</v>
      </c>
      <c r="X216" t="s">
        <v>3045</v>
      </c>
    </row>
    <row r="217" spans="1:24" x14ac:dyDescent="0.3">
      <c r="A217" t="s">
        <v>1482</v>
      </c>
      <c r="B217" t="s">
        <v>3766</v>
      </c>
      <c r="D217">
        <v>63.7</v>
      </c>
      <c r="E217">
        <v>15918</v>
      </c>
      <c r="F217">
        <v>46.5</v>
      </c>
      <c r="G217" s="11"/>
      <c r="H217" t="s">
        <v>340</v>
      </c>
      <c r="I217">
        <v>15763</v>
      </c>
      <c r="J217">
        <v>7333366</v>
      </c>
      <c r="M217" t="s">
        <v>1691</v>
      </c>
      <c r="N217" s="6" t="s">
        <v>2168</v>
      </c>
      <c r="O217">
        <v>4</v>
      </c>
      <c r="P217">
        <v>40</v>
      </c>
      <c r="Q217">
        <v>31</v>
      </c>
      <c r="R217">
        <v>4</v>
      </c>
      <c r="S217">
        <v>40</v>
      </c>
      <c r="T217" t="s">
        <v>623</v>
      </c>
      <c r="U217" t="s">
        <v>2009</v>
      </c>
      <c r="V217" t="s">
        <v>2024</v>
      </c>
      <c r="W217" t="s">
        <v>2016</v>
      </c>
      <c r="X217" t="s">
        <v>2039</v>
      </c>
    </row>
    <row r="218" spans="1:24" x14ac:dyDescent="0.3">
      <c r="A218" t="s">
        <v>1484</v>
      </c>
      <c r="B218" t="s">
        <v>3767</v>
      </c>
      <c r="D218">
        <v>57.3</v>
      </c>
      <c r="E218">
        <v>13754</v>
      </c>
      <c r="F218">
        <v>48</v>
      </c>
      <c r="G218" s="8" t="s">
        <v>2092</v>
      </c>
      <c r="H218" t="s">
        <v>383</v>
      </c>
      <c r="I218" t="s">
        <v>383</v>
      </c>
      <c r="J218" t="s">
        <v>383</v>
      </c>
      <c r="M218" t="s">
        <v>1691</v>
      </c>
      <c r="N218" s="6" t="s">
        <v>2168</v>
      </c>
      <c r="O218">
        <v>11.75</v>
      </c>
      <c r="P218">
        <v>40.25</v>
      </c>
      <c r="Q218">
        <v>6</v>
      </c>
      <c r="R218">
        <v>11.75</v>
      </c>
      <c r="S218">
        <v>40.25</v>
      </c>
      <c r="T218" t="s">
        <v>623</v>
      </c>
      <c r="U218" t="s">
        <v>2009</v>
      </c>
      <c r="V218" t="s">
        <v>2024</v>
      </c>
      <c r="W218" t="s">
        <v>2016</v>
      </c>
      <c r="X218" t="s">
        <v>2039</v>
      </c>
    </row>
    <row r="219" spans="1:24" x14ac:dyDescent="0.3">
      <c r="A219" t="s">
        <v>1715</v>
      </c>
      <c r="B219" t="s">
        <v>3768</v>
      </c>
      <c r="C219" t="s">
        <v>1716</v>
      </c>
      <c r="D219">
        <v>57.9</v>
      </c>
      <c r="E219">
        <v>18385</v>
      </c>
      <c r="F219">
        <v>52.97</v>
      </c>
      <c r="G219" s="8" t="s">
        <v>2093</v>
      </c>
      <c r="H219" t="s">
        <v>383</v>
      </c>
      <c r="I219" t="s">
        <v>383</v>
      </c>
      <c r="J219" t="s">
        <v>383</v>
      </c>
      <c r="M219" t="s">
        <v>1691</v>
      </c>
      <c r="N219" s="6" t="s">
        <v>2168</v>
      </c>
      <c r="O219">
        <v>4.9000000000000004</v>
      </c>
      <c r="P219">
        <v>37.799999999999997</v>
      </c>
      <c r="Q219">
        <v>10</v>
      </c>
      <c r="R219">
        <v>4.9000000000000004</v>
      </c>
      <c r="S219">
        <v>37.799999999999997</v>
      </c>
      <c r="T219" t="s">
        <v>623</v>
      </c>
      <c r="U219" t="s">
        <v>2009</v>
      </c>
      <c r="V219" t="s">
        <v>2024</v>
      </c>
      <c r="W219" t="s">
        <v>2016</v>
      </c>
      <c r="X219" t="s">
        <v>2039</v>
      </c>
    </row>
    <row r="220" spans="1:24" x14ac:dyDescent="0.3">
      <c r="A220" t="s">
        <v>971</v>
      </c>
      <c r="B220" t="s">
        <v>97</v>
      </c>
      <c r="D220">
        <f>AVERAGE(36.868,39.597,39.319,42.748)</f>
        <v>39.633000000000003</v>
      </c>
      <c r="E220">
        <f>AVERAGE(14946,15295,14950,12290)</f>
        <v>14370.25</v>
      </c>
      <c r="F220">
        <v>55.45</v>
      </c>
      <c r="G220" s="11"/>
      <c r="H220" t="s">
        <v>1746</v>
      </c>
      <c r="I220">
        <v>15221</v>
      </c>
      <c r="J220">
        <v>5826635</v>
      </c>
      <c r="K220">
        <v>19</v>
      </c>
      <c r="L220">
        <v>42</v>
      </c>
      <c r="M220" t="s">
        <v>226</v>
      </c>
      <c r="N220" s="6" t="s">
        <v>2294</v>
      </c>
      <c r="R220">
        <v>19</v>
      </c>
      <c r="S220">
        <v>42</v>
      </c>
      <c r="T220" t="s">
        <v>1820</v>
      </c>
      <c r="U220" t="s">
        <v>2009</v>
      </c>
      <c r="V220" t="s">
        <v>2024</v>
      </c>
      <c r="W220" t="s">
        <v>2015</v>
      </c>
      <c r="X220" t="s">
        <v>3039</v>
      </c>
    </row>
    <row r="221" spans="1:24" x14ac:dyDescent="0.3">
      <c r="A221" t="s">
        <v>1316</v>
      </c>
      <c r="B221" t="s">
        <v>685</v>
      </c>
      <c r="D221">
        <v>41.9</v>
      </c>
      <c r="E221">
        <v>11638</v>
      </c>
      <c r="F221">
        <v>48.5</v>
      </c>
      <c r="G221" s="11"/>
      <c r="H221" t="s">
        <v>1746</v>
      </c>
      <c r="I221">
        <v>11599</v>
      </c>
      <c r="J221">
        <v>5782078</v>
      </c>
      <c r="K221">
        <v>7</v>
      </c>
      <c r="L221">
        <v>32</v>
      </c>
      <c r="M221" t="s">
        <v>227</v>
      </c>
      <c r="N221" s="6" t="s">
        <v>2295</v>
      </c>
      <c r="R221">
        <v>7</v>
      </c>
      <c r="S221">
        <v>32</v>
      </c>
      <c r="T221" t="s">
        <v>594</v>
      </c>
      <c r="U221" t="s">
        <v>2009</v>
      </c>
      <c r="V221" t="s">
        <v>2024</v>
      </c>
      <c r="W221" t="s">
        <v>2016</v>
      </c>
      <c r="X221" t="s">
        <v>2039</v>
      </c>
    </row>
    <row r="222" spans="1:24" x14ac:dyDescent="0.3">
      <c r="A222" t="s">
        <v>1486</v>
      </c>
      <c r="B222" t="s">
        <v>3769</v>
      </c>
      <c r="D222">
        <v>34.299999999999997</v>
      </c>
      <c r="F222">
        <v>52.5</v>
      </c>
      <c r="G222" s="11"/>
      <c r="H222" t="s">
        <v>383</v>
      </c>
      <c r="I222" t="s">
        <v>383</v>
      </c>
      <c r="J222" t="s">
        <v>383</v>
      </c>
      <c r="M222" t="s">
        <v>1691</v>
      </c>
      <c r="N222" s="6" t="s">
        <v>2168</v>
      </c>
      <c r="O222">
        <v>0</v>
      </c>
      <c r="P222">
        <v>35</v>
      </c>
      <c r="Q222">
        <v>8</v>
      </c>
      <c r="R222">
        <v>0</v>
      </c>
      <c r="S222">
        <v>35</v>
      </c>
      <c r="T222" t="s">
        <v>624</v>
      </c>
      <c r="U222" t="s">
        <v>2009</v>
      </c>
      <c r="V222" t="s">
        <v>2024</v>
      </c>
      <c r="W222" t="s">
        <v>2016</v>
      </c>
      <c r="X222" t="s">
        <v>2039</v>
      </c>
    </row>
    <row r="223" spans="1:24" x14ac:dyDescent="0.3">
      <c r="A223" t="s">
        <v>1488</v>
      </c>
      <c r="B223" t="s">
        <v>3770</v>
      </c>
      <c r="D223">
        <v>32.869999999999997</v>
      </c>
      <c r="E223">
        <v>11752</v>
      </c>
      <c r="F223">
        <v>52.5</v>
      </c>
      <c r="G223" s="8" t="s">
        <v>2094</v>
      </c>
      <c r="H223" t="s">
        <v>383</v>
      </c>
      <c r="I223" t="s">
        <v>383</v>
      </c>
      <c r="J223" t="s">
        <v>383</v>
      </c>
      <c r="M223" t="s">
        <v>1691</v>
      </c>
      <c r="N223" s="6" t="s">
        <v>2168</v>
      </c>
      <c r="O223">
        <v>0</v>
      </c>
      <c r="P223">
        <v>35</v>
      </c>
      <c r="Q223">
        <v>11</v>
      </c>
      <c r="R223">
        <v>0</v>
      </c>
      <c r="S223">
        <v>35</v>
      </c>
      <c r="T223" t="s">
        <v>624</v>
      </c>
      <c r="U223" t="s">
        <v>2009</v>
      </c>
      <c r="V223" t="s">
        <v>2024</v>
      </c>
      <c r="W223" t="s">
        <v>2016</v>
      </c>
      <c r="X223" t="s">
        <v>2039</v>
      </c>
    </row>
    <row r="224" spans="1:24" x14ac:dyDescent="0.3">
      <c r="A224" t="s">
        <v>1490</v>
      </c>
      <c r="B224" t="s">
        <v>3771</v>
      </c>
      <c r="C224" t="s">
        <v>1706</v>
      </c>
      <c r="D224">
        <v>41.4</v>
      </c>
      <c r="E224">
        <v>10796</v>
      </c>
      <c r="F224">
        <v>48</v>
      </c>
      <c r="G224" s="8" t="s">
        <v>2095</v>
      </c>
      <c r="H224" t="s">
        <v>383</v>
      </c>
      <c r="I224" t="s">
        <v>383</v>
      </c>
      <c r="J224" t="s">
        <v>383</v>
      </c>
      <c r="M224" t="s">
        <v>1691</v>
      </c>
      <c r="N224" s="6" t="s">
        <v>2168</v>
      </c>
      <c r="O224">
        <v>0</v>
      </c>
      <c r="P224">
        <v>35</v>
      </c>
      <c r="Q224">
        <v>8</v>
      </c>
      <c r="R224">
        <v>0</v>
      </c>
      <c r="S224">
        <v>35</v>
      </c>
      <c r="T224" t="s">
        <v>594</v>
      </c>
      <c r="U224" t="s">
        <v>2009</v>
      </c>
      <c r="V224" t="s">
        <v>2024</v>
      </c>
      <c r="W224" t="s">
        <v>2016</v>
      </c>
      <c r="X224" t="s">
        <v>2039</v>
      </c>
    </row>
    <row r="225" spans="1:24" x14ac:dyDescent="0.3">
      <c r="A225" t="s">
        <v>1297</v>
      </c>
      <c r="B225" t="s">
        <v>799</v>
      </c>
      <c r="D225">
        <v>44.7</v>
      </c>
      <c r="E225">
        <v>11947</v>
      </c>
      <c r="F225">
        <v>55.5</v>
      </c>
      <c r="G225" s="8" t="s">
        <v>2096</v>
      </c>
      <c r="H225" t="s">
        <v>383</v>
      </c>
      <c r="I225" t="s">
        <v>383</v>
      </c>
      <c r="J225" t="s">
        <v>383</v>
      </c>
      <c r="K225">
        <v>6</v>
      </c>
      <c r="L225">
        <v>32</v>
      </c>
      <c r="M225" t="s">
        <v>227</v>
      </c>
      <c r="N225" s="6" t="s">
        <v>2181</v>
      </c>
      <c r="R225">
        <v>6</v>
      </c>
      <c r="S225">
        <v>32</v>
      </c>
      <c r="T225" t="s">
        <v>625</v>
      </c>
      <c r="U225" t="s">
        <v>2009</v>
      </c>
      <c r="V225" t="s">
        <v>2024</v>
      </c>
      <c r="W225" t="s">
        <v>2016</v>
      </c>
      <c r="X225" t="s">
        <v>2039</v>
      </c>
    </row>
    <row r="226" spans="1:24" x14ac:dyDescent="0.3">
      <c r="A226" t="s">
        <v>1011</v>
      </c>
      <c r="B226" t="s">
        <v>494</v>
      </c>
      <c r="C226" t="s">
        <v>495</v>
      </c>
      <c r="D226">
        <v>21.092400000000001</v>
      </c>
      <c r="F226">
        <v>44.7</v>
      </c>
      <c r="G226" s="11"/>
      <c r="H226" t="s">
        <v>383</v>
      </c>
      <c r="I226" t="s">
        <v>383</v>
      </c>
      <c r="J226" t="s">
        <v>383</v>
      </c>
      <c r="K226">
        <v>4</v>
      </c>
      <c r="L226">
        <v>35</v>
      </c>
      <c r="M226" t="s">
        <v>227</v>
      </c>
      <c r="N226" s="6" t="s">
        <v>2234</v>
      </c>
      <c r="R226">
        <v>4</v>
      </c>
      <c r="S226">
        <v>35</v>
      </c>
      <c r="T226" t="s">
        <v>1821</v>
      </c>
      <c r="U226" t="s">
        <v>2009</v>
      </c>
      <c r="V226" t="s">
        <v>2024</v>
      </c>
      <c r="W226" t="s">
        <v>2016</v>
      </c>
      <c r="X226" t="s">
        <v>3045</v>
      </c>
    </row>
    <row r="227" spans="1:24" x14ac:dyDescent="0.3">
      <c r="A227" t="s">
        <v>1012</v>
      </c>
      <c r="B227" t="s">
        <v>496</v>
      </c>
      <c r="C227" t="s">
        <v>497</v>
      </c>
      <c r="D227">
        <v>21.370200000000001</v>
      </c>
      <c r="F227">
        <v>44.1</v>
      </c>
      <c r="G227" s="11"/>
      <c r="H227" t="s">
        <v>383</v>
      </c>
      <c r="I227" t="s">
        <v>383</v>
      </c>
      <c r="J227" t="s">
        <v>383</v>
      </c>
      <c r="K227">
        <v>0</v>
      </c>
      <c r="L227">
        <v>35</v>
      </c>
      <c r="M227" t="s">
        <v>227</v>
      </c>
      <c r="N227" s="6" t="s">
        <v>2234</v>
      </c>
      <c r="R227">
        <v>0</v>
      </c>
      <c r="S227">
        <v>35</v>
      </c>
      <c r="T227" t="s">
        <v>1821</v>
      </c>
      <c r="U227" t="s">
        <v>2009</v>
      </c>
      <c r="V227" t="s">
        <v>2024</v>
      </c>
      <c r="W227" t="s">
        <v>2016</v>
      </c>
      <c r="X227" t="s">
        <v>3045</v>
      </c>
    </row>
    <row r="228" spans="1:24" x14ac:dyDescent="0.3">
      <c r="A228" t="s">
        <v>1492</v>
      </c>
      <c r="B228" t="s">
        <v>3772</v>
      </c>
      <c r="D228">
        <v>38.299999999999997</v>
      </c>
      <c r="E228">
        <v>13942</v>
      </c>
      <c r="F228">
        <v>54.5</v>
      </c>
      <c r="G228" s="8" t="s">
        <v>2096</v>
      </c>
      <c r="H228" t="s">
        <v>383</v>
      </c>
      <c r="I228" t="s">
        <v>383</v>
      </c>
      <c r="J228" t="s">
        <v>383</v>
      </c>
      <c r="K228">
        <v>10</v>
      </c>
      <c r="L228">
        <v>30</v>
      </c>
      <c r="M228" t="s">
        <v>1691</v>
      </c>
      <c r="N228" s="6" t="s">
        <v>2168</v>
      </c>
      <c r="Q228">
        <v>3</v>
      </c>
      <c r="R228">
        <v>10</v>
      </c>
      <c r="S228">
        <v>30</v>
      </c>
      <c r="T228" t="s">
        <v>1822</v>
      </c>
      <c r="U228" t="s">
        <v>2009</v>
      </c>
      <c r="V228" t="s">
        <v>2024</v>
      </c>
      <c r="W228" t="s">
        <v>2016</v>
      </c>
      <c r="X228" t="s">
        <v>2039</v>
      </c>
    </row>
    <row r="229" spans="1:24" x14ac:dyDescent="0.3">
      <c r="A229" t="s">
        <v>972</v>
      </c>
      <c r="B229" t="s">
        <v>110</v>
      </c>
      <c r="D229">
        <v>30.209</v>
      </c>
      <c r="E229">
        <v>12580</v>
      </c>
      <c r="F229">
        <v>52.4</v>
      </c>
      <c r="G229" s="11"/>
      <c r="H229" t="s">
        <v>1746</v>
      </c>
      <c r="I229">
        <v>12399</v>
      </c>
      <c r="J229">
        <v>5091354</v>
      </c>
      <c r="K229">
        <v>3</v>
      </c>
      <c r="L229">
        <v>33</v>
      </c>
      <c r="M229" t="s">
        <v>227</v>
      </c>
      <c r="N229" s="6" t="s">
        <v>2296</v>
      </c>
      <c r="R229">
        <v>3</v>
      </c>
      <c r="S229">
        <v>33</v>
      </c>
      <c r="T229" t="s">
        <v>1823</v>
      </c>
      <c r="U229" t="s">
        <v>2009</v>
      </c>
      <c r="V229" t="s">
        <v>2024</v>
      </c>
      <c r="W229" t="s">
        <v>2016</v>
      </c>
      <c r="X229" t="s">
        <v>2039</v>
      </c>
    </row>
    <row r="230" spans="1:24" x14ac:dyDescent="0.3">
      <c r="A230" t="s">
        <v>1355</v>
      </c>
      <c r="B230" t="s">
        <v>706</v>
      </c>
      <c r="D230">
        <v>51.9</v>
      </c>
      <c r="E230">
        <v>9615</v>
      </c>
      <c r="F230">
        <v>43</v>
      </c>
      <c r="G230" s="11"/>
      <c r="H230" t="s">
        <v>1746</v>
      </c>
      <c r="I230">
        <v>10037</v>
      </c>
      <c r="J230">
        <v>4975927</v>
      </c>
      <c r="K230">
        <v>2</v>
      </c>
      <c r="L230">
        <v>30</v>
      </c>
      <c r="M230" t="s">
        <v>227</v>
      </c>
      <c r="N230" s="6" t="s">
        <v>2297</v>
      </c>
      <c r="R230">
        <v>2</v>
      </c>
      <c r="S230">
        <v>30</v>
      </c>
      <c r="T230" t="s">
        <v>1824</v>
      </c>
      <c r="U230" t="s">
        <v>2009</v>
      </c>
      <c r="V230" t="s">
        <v>2024</v>
      </c>
      <c r="W230" t="s">
        <v>2016</v>
      </c>
      <c r="X230" t="s">
        <v>2039</v>
      </c>
    </row>
    <row r="231" spans="1:24" x14ac:dyDescent="0.3">
      <c r="A231" t="s">
        <v>1494</v>
      </c>
      <c r="B231" t="s">
        <v>3773</v>
      </c>
      <c r="D231">
        <v>51.7</v>
      </c>
      <c r="E231">
        <v>17945</v>
      </c>
      <c r="F231">
        <v>57</v>
      </c>
      <c r="G231" s="11"/>
      <c r="H231" t="s">
        <v>340</v>
      </c>
      <c r="I231">
        <v>17743</v>
      </c>
      <c r="J231">
        <v>7457847</v>
      </c>
      <c r="M231" t="s">
        <v>1691</v>
      </c>
      <c r="N231" s="6" t="s">
        <v>2168</v>
      </c>
      <c r="O231">
        <v>4</v>
      </c>
      <c r="P231">
        <v>30</v>
      </c>
      <c r="Q231">
        <v>3</v>
      </c>
      <c r="R231">
        <v>4</v>
      </c>
      <c r="S231">
        <v>30</v>
      </c>
      <c r="T231" t="s">
        <v>1825</v>
      </c>
      <c r="U231" t="s">
        <v>2009</v>
      </c>
      <c r="V231" t="s">
        <v>2024</v>
      </c>
      <c r="W231" t="s">
        <v>2015</v>
      </c>
      <c r="X231" t="s">
        <v>3039</v>
      </c>
    </row>
    <row r="232" spans="1:24" x14ac:dyDescent="0.3">
      <c r="A232" t="s">
        <v>1496</v>
      </c>
      <c r="B232" t="s">
        <v>3774</v>
      </c>
      <c r="D232">
        <v>26.3</v>
      </c>
      <c r="E232">
        <f>AVERAGE(8673,8224)</f>
        <v>8448.5</v>
      </c>
      <c r="F232">
        <v>52.5</v>
      </c>
      <c r="G232" s="8" t="s">
        <v>2097</v>
      </c>
      <c r="H232" t="s">
        <v>340</v>
      </c>
      <c r="I232">
        <v>10170</v>
      </c>
      <c r="J232">
        <v>4998851</v>
      </c>
      <c r="K232">
        <v>0</v>
      </c>
      <c r="L232">
        <v>36</v>
      </c>
      <c r="M232" t="s">
        <v>1691</v>
      </c>
      <c r="N232" s="6" t="s">
        <v>2168</v>
      </c>
      <c r="Q232">
        <v>8</v>
      </c>
      <c r="R232">
        <v>0</v>
      </c>
      <c r="S232">
        <v>36</v>
      </c>
      <c r="T232" t="s">
        <v>626</v>
      </c>
      <c r="U232" t="s">
        <v>2009</v>
      </c>
      <c r="V232" t="s">
        <v>2024</v>
      </c>
      <c r="W232" t="s">
        <v>2016</v>
      </c>
      <c r="X232" t="s">
        <v>2039</v>
      </c>
    </row>
    <row r="233" spans="1:24" x14ac:dyDescent="0.3">
      <c r="A233" t="s">
        <v>973</v>
      </c>
      <c r="B233" t="s">
        <v>3775</v>
      </c>
      <c r="D233">
        <v>29.7089</v>
      </c>
      <c r="E233">
        <v>8769</v>
      </c>
      <c r="F233">
        <v>43.5</v>
      </c>
      <c r="G233" s="11"/>
      <c r="H233" t="s">
        <v>1746</v>
      </c>
      <c r="I233">
        <v>8745</v>
      </c>
      <c r="J233">
        <v>3939199</v>
      </c>
      <c r="K233">
        <v>9</v>
      </c>
      <c r="L233">
        <v>38</v>
      </c>
      <c r="M233" t="s">
        <v>226</v>
      </c>
      <c r="N233" s="6" t="s">
        <v>2222</v>
      </c>
      <c r="O233" s="9"/>
      <c r="P233" s="9"/>
      <c r="R233">
        <v>9</v>
      </c>
      <c r="S233">
        <v>38</v>
      </c>
      <c r="T233" t="s">
        <v>627</v>
      </c>
      <c r="U233" t="s">
        <v>2009</v>
      </c>
      <c r="V233" t="s">
        <v>2024</v>
      </c>
      <c r="W233" t="s">
        <v>2016</v>
      </c>
      <c r="X233" t="s">
        <v>2039</v>
      </c>
    </row>
    <row r="234" spans="1:24" x14ac:dyDescent="0.3">
      <c r="A234" t="s">
        <v>543</v>
      </c>
      <c r="B234" t="s">
        <v>3776</v>
      </c>
      <c r="C234" t="s">
        <v>542</v>
      </c>
      <c r="D234">
        <v>33.753999999999998</v>
      </c>
      <c r="E234">
        <v>8906</v>
      </c>
      <c r="F234">
        <v>44.05</v>
      </c>
      <c r="G234" s="11"/>
      <c r="H234" t="s">
        <v>1746</v>
      </c>
      <c r="I234">
        <v>8899</v>
      </c>
      <c r="J234">
        <v>4332052</v>
      </c>
      <c r="K234">
        <v>7</v>
      </c>
      <c r="L234">
        <v>30</v>
      </c>
      <c r="M234" t="s">
        <v>226</v>
      </c>
      <c r="N234" s="6" t="s">
        <v>2222</v>
      </c>
      <c r="O234" s="9"/>
      <c r="P234" s="9"/>
      <c r="R234">
        <v>7</v>
      </c>
      <c r="S234">
        <v>30</v>
      </c>
      <c r="T234" t="s">
        <v>627</v>
      </c>
      <c r="U234" t="s">
        <v>2009</v>
      </c>
      <c r="V234" t="s">
        <v>2024</v>
      </c>
      <c r="W234" t="s">
        <v>2016</v>
      </c>
      <c r="X234" t="s">
        <v>2039</v>
      </c>
    </row>
    <row r="235" spans="1:24" x14ac:dyDescent="0.3">
      <c r="A235" t="s">
        <v>974</v>
      </c>
      <c r="B235" t="s">
        <v>3777</v>
      </c>
      <c r="D235">
        <v>33.917700000000004</v>
      </c>
      <c r="F235">
        <v>45.85</v>
      </c>
      <c r="G235" s="11"/>
      <c r="H235" t="s">
        <v>383</v>
      </c>
      <c r="I235" t="s">
        <v>383</v>
      </c>
      <c r="J235" t="s">
        <v>383</v>
      </c>
      <c r="K235">
        <v>9</v>
      </c>
      <c r="L235">
        <v>36</v>
      </c>
      <c r="M235" t="s">
        <v>226</v>
      </c>
      <c r="N235" s="6" t="s">
        <v>2222</v>
      </c>
      <c r="O235" s="9"/>
      <c r="P235" s="9"/>
      <c r="R235">
        <v>9</v>
      </c>
      <c r="S235">
        <v>36</v>
      </c>
      <c r="T235" t="s">
        <v>627</v>
      </c>
      <c r="U235" t="s">
        <v>2009</v>
      </c>
      <c r="V235" t="s">
        <v>2024</v>
      </c>
      <c r="W235" t="s">
        <v>2016</v>
      </c>
      <c r="X235" t="s">
        <v>2039</v>
      </c>
    </row>
    <row r="236" spans="1:24" x14ac:dyDescent="0.3">
      <c r="A236" t="s">
        <v>975</v>
      </c>
      <c r="B236" t="s">
        <v>3778</v>
      </c>
      <c r="D236">
        <v>32.411000000000001</v>
      </c>
      <c r="E236">
        <v>8950</v>
      </c>
      <c r="F236">
        <v>44.4</v>
      </c>
      <c r="G236" s="11"/>
      <c r="H236" t="s">
        <v>1746</v>
      </c>
      <c r="I236">
        <v>8944</v>
      </c>
      <c r="J236">
        <v>4270530</v>
      </c>
      <c r="K236">
        <v>6</v>
      </c>
      <c r="L236">
        <v>40</v>
      </c>
      <c r="M236" t="s">
        <v>227</v>
      </c>
      <c r="N236" s="6" t="s">
        <v>2298</v>
      </c>
      <c r="O236" s="9"/>
      <c r="P236" s="9"/>
      <c r="Q236" t="s">
        <v>410</v>
      </c>
      <c r="R236">
        <v>6</v>
      </c>
      <c r="S236">
        <v>40</v>
      </c>
      <c r="T236" t="s">
        <v>627</v>
      </c>
      <c r="U236" t="s">
        <v>2009</v>
      </c>
      <c r="V236" t="s">
        <v>2024</v>
      </c>
      <c r="W236" t="s">
        <v>2016</v>
      </c>
      <c r="X236" t="s">
        <v>2039</v>
      </c>
    </row>
    <row r="237" spans="1:24" x14ac:dyDescent="0.3">
      <c r="A237" t="s">
        <v>856</v>
      </c>
      <c r="B237" t="s">
        <v>304</v>
      </c>
      <c r="D237">
        <v>34.380000000000003</v>
      </c>
      <c r="E237">
        <v>13620</v>
      </c>
      <c r="F237">
        <v>50.5</v>
      </c>
      <c r="G237" s="11"/>
      <c r="H237" t="s">
        <v>1746</v>
      </c>
      <c r="I237">
        <v>13568</v>
      </c>
      <c r="J237">
        <v>6311667</v>
      </c>
      <c r="K237">
        <v>12</v>
      </c>
      <c r="L237">
        <v>40</v>
      </c>
      <c r="M237" t="s">
        <v>226</v>
      </c>
      <c r="N237" s="6" t="s">
        <v>2299</v>
      </c>
      <c r="R237">
        <v>12</v>
      </c>
      <c r="S237">
        <v>40</v>
      </c>
      <c r="T237" t="s">
        <v>627</v>
      </c>
      <c r="U237" t="s">
        <v>2009</v>
      </c>
      <c r="V237" t="s">
        <v>2024</v>
      </c>
      <c r="W237" t="s">
        <v>2016</v>
      </c>
      <c r="X237" t="s">
        <v>2039</v>
      </c>
    </row>
    <row r="238" spans="1:24" x14ac:dyDescent="0.3">
      <c r="A238" t="s">
        <v>860</v>
      </c>
      <c r="B238" t="s">
        <v>306</v>
      </c>
      <c r="D238">
        <v>34.517800000000001</v>
      </c>
      <c r="E238">
        <v>13222</v>
      </c>
      <c r="F238">
        <v>50</v>
      </c>
      <c r="G238" s="11"/>
      <c r="H238" t="s">
        <v>1746</v>
      </c>
      <c r="I238">
        <v>13222</v>
      </c>
      <c r="J238">
        <v>6349617</v>
      </c>
      <c r="K238">
        <v>4</v>
      </c>
      <c r="L238">
        <v>40</v>
      </c>
      <c r="M238" t="s">
        <v>227</v>
      </c>
      <c r="N238" s="6" t="s">
        <v>2300</v>
      </c>
      <c r="O238">
        <v>8</v>
      </c>
      <c r="P238">
        <v>35</v>
      </c>
      <c r="Q238">
        <v>3</v>
      </c>
      <c r="R238">
        <v>4</v>
      </c>
      <c r="S238">
        <v>40</v>
      </c>
      <c r="T238" t="s">
        <v>599</v>
      </c>
      <c r="U238" t="s">
        <v>2009</v>
      </c>
      <c r="V238" t="s">
        <v>2024</v>
      </c>
      <c r="W238" t="s">
        <v>2016</v>
      </c>
      <c r="X238" t="s">
        <v>2039</v>
      </c>
    </row>
    <row r="239" spans="1:24" x14ac:dyDescent="0.3">
      <c r="A239" t="s">
        <v>976</v>
      </c>
      <c r="B239" t="s">
        <v>332</v>
      </c>
      <c r="D239">
        <v>38.327199999999998</v>
      </c>
      <c r="E239">
        <v>8584</v>
      </c>
      <c r="F239">
        <v>41.74</v>
      </c>
      <c r="G239" s="8" t="s">
        <v>2068</v>
      </c>
      <c r="H239" t="s">
        <v>383</v>
      </c>
      <c r="I239" t="s">
        <v>383</v>
      </c>
      <c r="J239" t="s">
        <v>383</v>
      </c>
      <c r="K239">
        <v>7</v>
      </c>
      <c r="L239">
        <v>33</v>
      </c>
      <c r="M239" t="s">
        <v>226</v>
      </c>
      <c r="N239" s="6" t="s">
        <v>2301</v>
      </c>
      <c r="R239">
        <v>7</v>
      </c>
      <c r="S239">
        <v>33</v>
      </c>
      <c r="T239" t="s">
        <v>1826</v>
      </c>
      <c r="U239" t="s">
        <v>2009</v>
      </c>
      <c r="V239" t="s">
        <v>2024</v>
      </c>
      <c r="W239" t="s">
        <v>2016</v>
      </c>
      <c r="X239" t="s">
        <v>2039</v>
      </c>
    </row>
    <row r="240" spans="1:24" x14ac:dyDescent="0.3">
      <c r="A240" t="s">
        <v>977</v>
      </c>
      <c r="B240" t="s">
        <v>107</v>
      </c>
      <c r="D240">
        <v>33.604999999999997</v>
      </c>
      <c r="E240">
        <v>12218</v>
      </c>
      <c r="F240">
        <v>52</v>
      </c>
      <c r="G240" s="11"/>
      <c r="H240" t="s">
        <v>1746</v>
      </c>
      <c r="I240">
        <v>12021</v>
      </c>
      <c r="J240">
        <v>5572407</v>
      </c>
      <c r="K240">
        <v>8</v>
      </c>
      <c r="L240">
        <v>30</v>
      </c>
      <c r="M240" t="s">
        <v>226</v>
      </c>
      <c r="N240" s="6" t="s">
        <v>2302</v>
      </c>
      <c r="R240">
        <v>8</v>
      </c>
      <c r="S240">
        <v>30</v>
      </c>
      <c r="T240" t="s">
        <v>1827</v>
      </c>
      <c r="U240" t="s">
        <v>2009</v>
      </c>
      <c r="V240" t="s">
        <v>2024</v>
      </c>
      <c r="W240" t="s">
        <v>2016</v>
      </c>
      <c r="X240" t="s">
        <v>2039</v>
      </c>
    </row>
    <row r="241" spans="1:24" x14ac:dyDescent="0.3">
      <c r="A241" t="s">
        <v>1500</v>
      </c>
      <c r="B241" t="s">
        <v>3779</v>
      </c>
      <c r="D241">
        <v>32.700000000000003</v>
      </c>
      <c r="F241">
        <v>52</v>
      </c>
      <c r="G241" s="11"/>
      <c r="H241" t="s">
        <v>383</v>
      </c>
      <c r="I241" t="s">
        <v>383</v>
      </c>
      <c r="J241" t="s">
        <v>383</v>
      </c>
      <c r="K241">
        <v>3</v>
      </c>
      <c r="L241">
        <v>38</v>
      </c>
      <c r="M241" t="s">
        <v>1691</v>
      </c>
      <c r="N241" s="6" t="s">
        <v>2168</v>
      </c>
      <c r="Q241">
        <v>21</v>
      </c>
      <c r="R241">
        <v>3</v>
      </c>
      <c r="S241">
        <v>38</v>
      </c>
      <c r="T241" t="s">
        <v>1827</v>
      </c>
      <c r="U241" t="s">
        <v>2009</v>
      </c>
      <c r="V241" t="s">
        <v>2024</v>
      </c>
      <c r="W241" t="s">
        <v>2016</v>
      </c>
      <c r="X241" t="s">
        <v>2039</v>
      </c>
    </row>
    <row r="242" spans="1:24" x14ac:dyDescent="0.3">
      <c r="A242" t="s">
        <v>1502</v>
      </c>
      <c r="B242" t="s">
        <v>3780</v>
      </c>
      <c r="D242">
        <v>9.1</v>
      </c>
      <c r="E242">
        <v>4682</v>
      </c>
      <c r="F242">
        <v>41.5</v>
      </c>
      <c r="G242" s="8" t="s">
        <v>2098</v>
      </c>
      <c r="H242" t="s">
        <v>383</v>
      </c>
      <c r="I242" t="s">
        <v>383</v>
      </c>
      <c r="J242" t="s">
        <v>383</v>
      </c>
      <c r="K242">
        <v>8.5</v>
      </c>
      <c r="L242">
        <v>40</v>
      </c>
      <c r="M242" t="s">
        <v>1691</v>
      </c>
      <c r="N242" s="6" t="s">
        <v>2168</v>
      </c>
      <c r="Q242">
        <v>8</v>
      </c>
      <c r="R242">
        <v>8.5</v>
      </c>
      <c r="S242">
        <v>40</v>
      </c>
      <c r="T242" t="s">
        <v>1828</v>
      </c>
      <c r="U242" t="s">
        <v>2009</v>
      </c>
      <c r="V242" t="s">
        <v>2024</v>
      </c>
      <c r="W242" t="s">
        <v>2016</v>
      </c>
      <c r="X242" t="s">
        <v>3045</v>
      </c>
    </row>
    <row r="243" spans="1:24" x14ac:dyDescent="0.3">
      <c r="A243" t="s">
        <v>978</v>
      </c>
      <c r="B243" t="s">
        <v>141</v>
      </c>
      <c r="D243">
        <f>AVERAGE(9.133,9.095)</f>
        <v>9.1140000000000008</v>
      </c>
      <c r="E243">
        <f>AVERAGE(4766,4768)</f>
        <v>4767</v>
      </c>
      <c r="F243">
        <v>51.688499999999998</v>
      </c>
      <c r="G243" s="11"/>
      <c r="H243" t="s">
        <v>1746</v>
      </c>
      <c r="I243">
        <v>4758</v>
      </c>
      <c r="J243">
        <v>2330450</v>
      </c>
      <c r="K243">
        <v>20</v>
      </c>
      <c r="L243">
        <v>40</v>
      </c>
      <c r="M243" t="s">
        <v>227</v>
      </c>
      <c r="N243" s="6" t="s">
        <v>2303</v>
      </c>
      <c r="R243">
        <v>20</v>
      </c>
      <c r="S243">
        <v>40</v>
      </c>
      <c r="T243" t="s">
        <v>1828</v>
      </c>
      <c r="U243" t="s">
        <v>2009</v>
      </c>
      <c r="V243" t="s">
        <v>2024</v>
      </c>
      <c r="W243" t="s">
        <v>2016</v>
      </c>
      <c r="X243" t="s">
        <v>3045</v>
      </c>
    </row>
    <row r="244" spans="1:24" x14ac:dyDescent="0.3">
      <c r="A244" t="s">
        <v>1391</v>
      </c>
      <c r="B244" t="s">
        <v>3781</v>
      </c>
      <c r="D244">
        <v>52.505000000000003</v>
      </c>
      <c r="E244">
        <v>6484</v>
      </c>
      <c r="F244">
        <v>39</v>
      </c>
      <c r="G244" s="11"/>
      <c r="H244" t="s">
        <v>1746</v>
      </c>
      <c r="I244">
        <v>6482</v>
      </c>
      <c r="J244">
        <v>3060911</v>
      </c>
      <c r="K244">
        <v>10</v>
      </c>
      <c r="L244">
        <v>37.799999999999997</v>
      </c>
      <c r="M244" t="s">
        <v>1691</v>
      </c>
      <c r="N244" s="6" t="s">
        <v>2168</v>
      </c>
      <c r="Q244">
        <v>6</v>
      </c>
      <c r="R244">
        <v>10</v>
      </c>
      <c r="S244">
        <v>37.799999999999997</v>
      </c>
      <c r="T244" t="s">
        <v>628</v>
      </c>
      <c r="U244" t="s">
        <v>2009</v>
      </c>
      <c r="V244" t="s">
        <v>2024</v>
      </c>
      <c r="W244" t="s">
        <v>2016</v>
      </c>
      <c r="X244" t="s">
        <v>2039</v>
      </c>
    </row>
    <row r="245" spans="1:24" x14ac:dyDescent="0.3">
      <c r="A245" t="s">
        <v>980</v>
      </c>
      <c r="B245" t="s">
        <v>91</v>
      </c>
      <c r="D245">
        <v>54.006</v>
      </c>
      <c r="E245">
        <v>11685</v>
      </c>
      <c r="F245">
        <v>45.9</v>
      </c>
      <c r="G245" s="11"/>
      <c r="H245" t="s">
        <v>1746</v>
      </c>
      <c r="I245">
        <v>11684</v>
      </c>
      <c r="J245">
        <v>5038052</v>
      </c>
      <c r="K245">
        <v>5</v>
      </c>
      <c r="L245">
        <v>30</v>
      </c>
      <c r="M245" t="s">
        <v>227</v>
      </c>
      <c r="N245" s="6" t="s">
        <v>2304</v>
      </c>
      <c r="R245">
        <v>5</v>
      </c>
      <c r="S245">
        <v>30</v>
      </c>
      <c r="T245" t="s">
        <v>1829</v>
      </c>
      <c r="U245" t="s">
        <v>2009</v>
      </c>
      <c r="V245" t="s">
        <v>2024</v>
      </c>
      <c r="W245" t="s">
        <v>2016</v>
      </c>
      <c r="X245" t="s">
        <v>2039</v>
      </c>
    </row>
    <row r="246" spans="1:24" x14ac:dyDescent="0.3">
      <c r="A246" t="s">
        <v>981</v>
      </c>
      <c r="B246" t="s">
        <v>283</v>
      </c>
      <c r="D246">
        <v>78.171000000000006</v>
      </c>
      <c r="E246">
        <v>26765</v>
      </c>
      <c r="F246">
        <v>51.95</v>
      </c>
      <c r="G246" s="11"/>
      <c r="H246" t="s">
        <v>1746</v>
      </c>
      <c r="I246">
        <v>26305</v>
      </c>
      <c r="J246">
        <v>9697779</v>
      </c>
      <c r="K246">
        <v>7</v>
      </c>
      <c r="L246">
        <v>35</v>
      </c>
      <c r="M246" t="s">
        <v>228</v>
      </c>
      <c r="N246" s="6" t="s">
        <v>2305</v>
      </c>
      <c r="O246" s="14"/>
      <c r="P246" s="14"/>
      <c r="R246">
        <v>7</v>
      </c>
      <c r="S246">
        <v>35</v>
      </c>
      <c r="T246" t="s">
        <v>1830</v>
      </c>
      <c r="U246" t="s">
        <v>2009</v>
      </c>
      <c r="V246" t="s">
        <v>2024</v>
      </c>
      <c r="W246" t="s">
        <v>2015</v>
      </c>
      <c r="X246" t="s">
        <v>3039</v>
      </c>
    </row>
    <row r="247" spans="1:24" x14ac:dyDescent="0.3">
      <c r="A247" t="s">
        <v>982</v>
      </c>
      <c r="B247" t="s">
        <v>550</v>
      </c>
      <c r="D247">
        <f>AVERAGE(29.703,29.813)</f>
        <v>29.757999999999999</v>
      </c>
      <c r="E247">
        <f>AVERAGE(12081,12077)</f>
        <v>12079</v>
      </c>
      <c r="F247">
        <v>54</v>
      </c>
      <c r="G247" s="11"/>
      <c r="H247" t="s">
        <v>3707</v>
      </c>
      <c r="I247">
        <v>12081</v>
      </c>
      <c r="J247">
        <v>5636337</v>
      </c>
      <c r="K247">
        <v>7</v>
      </c>
      <c r="L247">
        <v>38</v>
      </c>
      <c r="M247" t="s">
        <v>227</v>
      </c>
      <c r="N247" s="6" t="s">
        <v>2241</v>
      </c>
      <c r="O247" s="9"/>
      <c r="P247" s="9"/>
      <c r="R247">
        <v>7</v>
      </c>
      <c r="S247">
        <v>38</v>
      </c>
      <c r="T247" t="s">
        <v>629</v>
      </c>
      <c r="U247" t="s">
        <v>2009</v>
      </c>
      <c r="V247" t="s">
        <v>2024</v>
      </c>
      <c r="W247" t="s">
        <v>2016</v>
      </c>
      <c r="X247" t="s">
        <v>2039</v>
      </c>
    </row>
    <row r="248" spans="1:24" x14ac:dyDescent="0.3">
      <c r="A248" t="s">
        <v>983</v>
      </c>
      <c r="B248" t="s">
        <v>176</v>
      </c>
      <c r="D248">
        <v>41.567</v>
      </c>
      <c r="E248">
        <v>13118</v>
      </c>
      <c r="F248">
        <v>49</v>
      </c>
      <c r="G248" s="11"/>
      <c r="H248" t="s">
        <v>1746</v>
      </c>
      <c r="I248">
        <v>13118</v>
      </c>
      <c r="J248">
        <v>6064173</v>
      </c>
      <c r="K248">
        <v>2</v>
      </c>
      <c r="L248">
        <v>36</v>
      </c>
      <c r="M248" t="s">
        <v>227</v>
      </c>
      <c r="N248" s="6" t="s">
        <v>2241</v>
      </c>
      <c r="R248">
        <v>2</v>
      </c>
      <c r="S248">
        <v>36</v>
      </c>
      <c r="T248" t="s">
        <v>629</v>
      </c>
      <c r="U248" t="s">
        <v>2009</v>
      </c>
      <c r="V248" t="s">
        <v>2024</v>
      </c>
      <c r="W248" t="s">
        <v>2016</v>
      </c>
      <c r="X248" t="s">
        <v>2039</v>
      </c>
    </row>
    <row r="249" spans="1:24" x14ac:dyDescent="0.3">
      <c r="A249" t="s">
        <v>984</v>
      </c>
      <c r="B249" t="s">
        <v>125</v>
      </c>
      <c r="D249">
        <v>26.350999999999999</v>
      </c>
      <c r="E249">
        <v>9562</v>
      </c>
      <c r="F249">
        <v>51.4</v>
      </c>
      <c r="G249" s="11"/>
      <c r="H249" t="s">
        <v>1746</v>
      </c>
      <c r="I249">
        <v>9285</v>
      </c>
      <c r="J249">
        <v>4653811</v>
      </c>
      <c r="K249">
        <v>9</v>
      </c>
      <c r="L249">
        <v>42</v>
      </c>
      <c r="M249" t="s">
        <v>227</v>
      </c>
      <c r="N249" s="6" t="s">
        <v>2306</v>
      </c>
      <c r="Q249" t="s">
        <v>783</v>
      </c>
      <c r="R249">
        <v>9</v>
      </c>
      <c r="S249">
        <v>42</v>
      </c>
      <c r="T249" t="s">
        <v>629</v>
      </c>
      <c r="U249" t="s">
        <v>2009</v>
      </c>
      <c r="V249" t="s">
        <v>2024</v>
      </c>
      <c r="W249" t="s">
        <v>2016</v>
      </c>
      <c r="X249" t="s">
        <v>2039</v>
      </c>
    </row>
    <row r="250" spans="1:24" x14ac:dyDescent="0.3">
      <c r="A250" t="s">
        <v>1340</v>
      </c>
      <c r="B250" t="s">
        <v>736</v>
      </c>
      <c r="D250">
        <v>32.9</v>
      </c>
      <c r="E250">
        <v>12119</v>
      </c>
      <c r="F250">
        <v>51.5</v>
      </c>
      <c r="G250" s="11"/>
      <c r="H250" t="s">
        <v>1746</v>
      </c>
      <c r="I250">
        <v>12047</v>
      </c>
      <c r="J250">
        <v>5944843</v>
      </c>
      <c r="K250">
        <v>13</v>
      </c>
      <c r="L250">
        <v>38</v>
      </c>
      <c r="M250" t="s">
        <v>226</v>
      </c>
      <c r="N250" s="6" t="s">
        <v>2307</v>
      </c>
      <c r="R250">
        <v>13</v>
      </c>
      <c r="S250">
        <v>38</v>
      </c>
      <c r="T250" t="s">
        <v>629</v>
      </c>
      <c r="U250" t="s">
        <v>2009</v>
      </c>
      <c r="V250" t="s">
        <v>2024</v>
      </c>
      <c r="W250" t="s">
        <v>2016</v>
      </c>
      <c r="X250" t="s">
        <v>2039</v>
      </c>
    </row>
    <row r="251" spans="1:24" x14ac:dyDescent="0.3">
      <c r="A251" t="s">
        <v>782</v>
      </c>
      <c r="B251" t="s">
        <v>782</v>
      </c>
      <c r="D251">
        <v>28.227</v>
      </c>
      <c r="E251">
        <v>11358</v>
      </c>
      <c r="F251">
        <v>51.3</v>
      </c>
      <c r="G251" s="11"/>
      <c r="H251" t="s">
        <v>340</v>
      </c>
      <c r="I251">
        <v>11345</v>
      </c>
      <c r="J251">
        <v>5524429</v>
      </c>
      <c r="K251">
        <v>4</v>
      </c>
      <c r="L251">
        <v>28</v>
      </c>
      <c r="M251" t="s">
        <v>227</v>
      </c>
      <c r="N251" s="6" t="s">
        <v>2308</v>
      </c>
      <c r="R251">
        <v>4</v>
      </c>
      <c r="S251">
        <v>28</v>
      </c>
      <c r="T251" t="s">
        <v>629</v>
      </c>
      <c r="U251" t="s">
        <v>2009</v>
      </c>
      <c r="V251" t="s">
        <v>2024</v>
      </c>
      <c r="W251" t="s">
        <v>2016</v>
      </c>
      <c r="X251" t="s">
        <v>2039</v>
      </c>
    </row>
    <row r="252" spans="1:24" x14ac:dyDescent="0.3">
      <c r="A252" t="s">
        <v>1341</v>
      </c>
      <c r="B252" t="s">
        <v>3782</v>
      </c>
      <c r="D252">
        <v>43</v>
      </c>
      <c r="E252">
        <v>11835</v>
      </c>
      <c r="F252">
        <v>50.2</v>
      </c>
      <c r="G252" s="11"/>
      <c r="H252" t="s">
        <v>1746</v>
      </c>
      <c r="I252">
        <v>11687</v>
      </c>
      <c r="J252">
        <v>5320234</v>
      </c>
      <c r="M252" t="s">
        <v>1691</v>
      </c>
      <c r="N252" s="6" t="s">
        <v>2168</v>
      </c>
      <c r="O252">
        <v>7.5</v>
      </c>
      <c r="P252">
        <v>35</v>
      </c>
      <c r="Q252">
        <v>24</v>
      </c>
      <c r="R252">
        <v>7.5</v>
      </c>
      <c r="S252">
        <v>35</v>
      </c>
      <c r="T252" t="s">
        <v>1831</v>
      </c>
      <c r="U252" t="s">
        <v>2009</v>
      </c>
      <c r="V252" t="s">
        <v>2024</v>
      </c>
      <c r="W252" t="s">
        <v>2016</v>
      </c>
      <c r="X252" t="s">
        <v>2039</v>
      </c>
    </row>
    <row r="253" spans="1:24" x14ac:dyDescent="0.3">
      <c r="A253" t="s">
        <v>1629</v>
      </c>
      <c r="B253" t="s">
        <v>1707</v>
      </c>
      <c r="C253" t="s">
        <v>1707</v>
      </c>
      <c r="D253">
        <v>36.036999999999999</v>
      </c>
      <c r="E253">
        <v>14165</v>
      </c>
      <c r="F253">
        <v>56.5</v>
      </c>
      <c r="G253" s="11"/>
      <c r="H253" t="s">
        <v>3707</v>
      </c>
      <c r="I253">
        <v>14165</v>
      </c>
      <c r="J253">
        <v>5760811</v>
      </c>
      <c r="M253" t="s">
        <v>1691</v>
      </c>
      <c r="N253" s="6" t="s">
        <v>2168</v>
      </c>
      <c r="O253">
        <v>4</v>
      </c>
      <c r="P253">
        <v>45</v>
      </c>
      <c r="Q253">
        <v>3</v>
      </c>
      <c r="R253">
        <v>4</v>
      </c>
      <c r="S253">
        <v>45</v>
      </c>
      <c r="T253" t="s">
        <v>672</v>
      </c>
      <c r="U253" t="s">
        <v>2009</v>
      </c>
      <c r="V253" t="s">
        <v>2024</v>
      </c>
      <c r="W253" t="s">
        <v>2015</v>
      </c>
      <c r="X253" t="s">
        <v>3039</v>
      </c>
    </row>
    <row r="254" spans="1:24" x14ac:dyDescent="0.3">
      <c r="A254" t="s">
        <v>985</v>
      </c>
      <c r="B254" t="s">
        <v>90</v>
      </c>
      <c r="D254">
        <v>35.642499999999998</v>
      </c>
      <c r="E254">
        <v>13843</v>
      </c>
      <c r="F254">
        <v>49.7</v>
      </c>
      <c r="G254" s="8" t="s">
        <v>2099</v>
      </c>
      <c r="H254" t="s">
        <v>383</v>
      </c>
      <c r="I254" t="s">
        <v>383</v>
      </c>
      <c r="J254" t="s">
        <v>383</v>
      </c>
      <c r="K254">
        <v>8</v>
      </c>
      <c r="L254">
        <v>40</v>
      </c>
      <c r="M254" t="s">
        <v>226</v>
      </c>
      <c r="N254" s="6" t="s">
        <v>2309</v>
      </c>
      <c r="O254" s="16"/>
      <c r="P254" s="16"/>
      <c r="Q254" t="s">
        <v>559</v>
      </c>
      <c r="R254">
        <v>8</v>
      </c>
      <c r="S254">
        <v>40</v>
      </c>
      <c r="T254" t="s">
        <v>1832</v>
      </c>
      <c r="U254" t="s">
        <v>2009</v>
      </c>
      <c r="V254" t="s">
        <v>2024</v>
      </c>
      <c r="W254" t="s">
        <v>2015</v>
      </c>
      <c r="X254" t="s">
        <v>3039</v>
      </c>
    </row>
    <row r="255" spans="1:24" x14ac:dyDescent="0.3">
      <c r="A255" t="s">
        <v>987</v>
      </c>
      <c r="B255" t="s">
        <v>587</v>
      </c>
      <c r="D255">
        <v>40.950000000000003</v>
      </c>
      <c r="E255">
        <v>14757</v>
      </c>
      <c r="F255">
        <v>54.5</v>
      </c>
      <c r="G255" s="11"/>
      <c r="H255" t="s">
        <v>340</v>
      </c>
      <c r="I255">
        <v>14756</v>
      </c>
      <c r="J255">
        <v>6141304</v>
      </c>
      <c r="K255">
        <v>5</v>
      </c>
      <c r="L255">
        <v>38</v>
      </c>
      <c r="M255" t="s">
        <v>227</v>
      </c>
      <c r="N255" s="6" t="s">
        <v>2289</v>
      </c>
      <c r="O255">
        <v>10</v>
      </c>
      <c r="P255">
        <v>35</v>
      </c>
      <c r="Q255">
        <v>3</v>
      </c>
      <c r="R255">
        <v>5</v>
      </c>
      <c r="S255">
        <v>38</v>
      </c>
      <c r="T255" t="s">
        <v>1833</v>
      </c>
      <c r="U255" t="s">
        <v>2009</v>
      </c>
      <c r="V255" t="s">
        <v>2024</v>
      </c>
      <c r="W255" t="s">
        <v>2015</v>
      </c>
      <c r="X255" t="s">
        <v>3039</v>
      </c>
    </row>
    <row r="256" spans="1:24" x14ac:dyDescent="0.3">
      <c r="A256" t="s">
        <v>986</v>
      </c>
      <c r="B256" t="s">
        <v>44</v>
      </c>
      <c r="C256" t="s">
        <v>551</v>
      </c>
      <c r="D256">
        <v>63.354399999999998</v>
      </c>
      <c r="E256">
        <v>11333</v>
      </c>
      <c r="F256">
        <v>41.7</v>
      </c>
      <c r="G256" s="11"/>
      <c r="H256" t="s">
        <v>1746</v>
      </c>
      <c r="I256">
        <v>531</v>
      </c>
      <c r="J256">
        <v>161738</v>
      </c>
      <c r="K256">
        <v>10</v>
      </c>
      <c r="L256">
        <v>33</v>
      </c>
      <c r="M256" t="s">
        <v>226</v>
      </c>
      <c r="N256" s="6" t="s">
        <v>2310</v>
      </c>
      <c r="R256">
        <v>10</v>
      </c>
      <c r="S256">
        <v>33</v>
      </c>
      <c r="T256" t="s">
        <v>1834</v>
      </c>
      <c r="U256" t="s">
        <v>2009</v>
      </c>
      <c r="V256" t="s">
        <v>2024</v>
      </c>
      <c r="W256" t="s">
        <v>2015</v>
      </c>
      <c r="X256" t="s">
        <v>3039</v>
      </c>
    </row>
    <row r="257" spans="1:24" x14ac:dyDescent="0.3">
      <c r="A257" t="s">
        <v>1506</v>
      </c>
      <c r="B257" t="s">
        <v>3783</v>
      </c>
      <c r="D257">
        <v>46</v>
      </c>
      <c r="E257">
        <v>13888</v>
      </c>
      <c r="F257">
        <v>55.5</v>
      </c>
      <c r="G257" s="8" t="s">
        <v>2100</v>
      </c>
      <c r="H257" t="s">
        <v>383</v>
      </c>
      <c r="I257" t="s">
        <v>383</v>
      </c>
      <c r="J257" t="s">
        <v>383</v>
      </c>
      <c r="K257">
        <v>8</v>
      </c>
      <c r="L257">
        <v>38</v>
      </c>
      <c r="M257" t="s">
        <v>1691</v>
      </c>
      <c r="N257" s="6" t="s">
        <v>2168</v>
      </c>
      <c r="Q257">
        <v>12</v>
      </c>
      <c r="R257">
        <v>8</v>
      </c>
      <c r="S257">
        <v>38</v>
      </c>
      <c r="T257" t="s">
        <v>630</v>
      </c>
      <c r="U257" t="s">
        <v>2009</v>
      </c>
      <c r="V257" t="s">
        <v>2024</v>
      </c>
      <c r="W257" t="s">
        <v>2015</v>
      </c>
      <c r="X257" t="s">
        <v>3039</v>
      </c>
    </row>
    <row r="258" spans="1:24" x14ac:dyDescent="0.3">
      <c r="A258" t="s">
        <v>1342</v>
      </c>
      <c r="B258" t="s">
        <v>737</v>
      </c>
      <c r="D258">
        <v>33.447000000000003</v>
      </c>
      <c r="E258">
        <v>12389</v>
      </c>
      <c r="F258">
        <v>52.5</v>
      </c>
      <c r="G258" s="11"/>
      <c r="H258" t="s">
        <v>1746</v>
      </c>
      <c r="I258">
        <v>12368</v>
      </c>
      <c r="J258">
        <v>6118718</v>
      </c>
      <c r="K258">
        <v>11</v>
      </c>
      <c r="L258">
        <v>39</v>
      </c>
      <c r="M258" t="s">
        <v>228</v>
      </c>
      <c r="N258" s="6" t="s">
        <v>2311</v>
      </c>
      <c r="R258">
        <v>11</v>
      </c>
      <c r="S258">
        <v>39</v>
      </c>
      <c r="T258" t="s">
        <v>631</v>
      </c>
      <c r="U258" t="s">
        <v>2009</v>
      </c>
      <c r="V258" t="s">
        <v>2024</v>
      </c>
      <c r="W258" t="s">
        <v>2016</v>
      </c>
      <c r="X258" t="s">
        <v>2039</v>
      </c>
    </row>
    <row r="259" spans="1:24" x14ac:dyDescent="0.3">
      <c r="A259" t="s">
        <v>988</v>
      </c>
      <c r="B259" t="s">
        <v>524</v>
      </c>
      <c r="D259">
        <v>46.746000000000002</v>
      </c>
      <c r="E259">
        <v>18027</v>
      </c>
      <c r="F259">
        <v>56.5</v>
      </c>
      <c r="G259" s="11"/>
      <c r="H259" t="s">
        <v>1746</v>
      </c>
      <c r="I259">
        <v>17901</v>
      </c>
      <c r="J259">
        <v>8776224</v>
      </c>
      <c r="K259">
        <v>-5</v>
      </c>
      <c r="L259">
        <v>25</v>
      </c>
      <c r="M259" t="s">
        <v>227</v>
      </c>
      <c r="N259" s="6" t="s">
        <v>2276</v>
      </c>
      <c r="R259">
        <v>-5</v>
      </c>
      <c r="S259">
        <v>25</v>
      </c>
      <c r="T259" t="s">
        <v>632</v>
      </c>
      <c r="U259" t="s">
        <v>2009</v>
      </c>
      <c r="V259" t="s">
        <v>2024</v>
      </c>
      <c r="W259" t="s">
        <v>2016</v>
      </c>
      <c r="X259" t="s">
        <v>2039</v>
      </c>
    </row>
    <row r="260" spans="1:24" x14ac:dyDescent="0.3">
      <c r="A260" t="s">
        <v>989</v>
      </c>
      <c r="B260" t="s">
        <v>525</v>
      </c>
      <c r="D260">
        <v>37.790999999999997</v>
      </c>
      <c r="E260">
        <v>13766</v>
      </c>
      <c r="F260">
        <v>56.6</v>
      </c>
      <c r="G260" s="11"/>
      <c r="H260" t="s">
        <v>1746</v>
      </c>
      <c r="I260">
        <v>13631</v>
      </c>
      <c r="J260">
        <v>6101469</v>
      </c>
      <c r="K260">
        <v>-7</v>
      </c>
      <c r="L260">
        <v>24</v>
      </c>
      <c r="M260" t="s">
        <v>226</v>
      </c>
      <c r="N260" s="6" t="s">
        <v>2276</v>
      </c>
      <c r="R260">
        <v>-7</v>
      </c>
      <c r="S260">
        <v>24</v>
      </c>
      <c r="T260" t="s">
        <v>632</v>
      </c>
      <c r="U260" t="s">
        <v>2009</v>
      </c>
      <c r="V260" t="s">
        <v>2024</v>
      </c>
      <c r="W260" t="s">
        <v>2016</v>
      </c>
      <c r="X260" t="s">
        <v>2039</v>
      </c>
    </row>
    <row r="261" spans="1:24" x14ac:dyDescent="0.3">
      <c r="A261" t="s">
        <v>990</v>
      </c>
      <c r="B261" t="s">
        <v>33</v>
      </c>
      <c r="C261" t="s">
        <v>751</v>
      </c>
      <c r="D261">
        <v>61.113</v>
      </c>
      <c r="E261">
        <v>14127</v>
      </c>
      <c r="F261">
        <v>48.8</v>
      </c>
      <c r="G261" s="11"/>
      <c r="H261" t="s">
        <v>1746</v>
      </c>
      <c r="I261">
        <v>14687</v>
      </c>
      <c r="J261">
        <v>6274787</v>
      </c>
      <c r="K261">
        <v>10</v>
      </c>
      <c r="L261">
        <v>30</v>
      </c>
      <c r="M261" t="s">
        <v>227</v>
      </c>
      <c r="N261" s="6" t="s">
        <v>2312</v>
      </c>
      <c r="O261">
        <v>0.5</v>
      </c>
      <c r="P261">
        <v>35</v>
      </c>
      <c r="Q261">
        <v>44</v>
      </c>
      <c r="R261">
        <v>0.5</v>
      </c>
      <c r="S261">
        <v>35</v>
      </c>
      <c r="T261" t="s">
        <v>1835</v>
      </c>
      <c r="U261" t="s">
        <v>2009</v>
      </c>
      <c r="V261" t="s">
        <v>2024</v>
      </c>
      <c r="W261" t="s">
        <v>2016</v>
      </c>
      <c r="X261" t="s">
        <v>2039</v>
      </c>
    </row>
    <row r="262" spans="1:24" x14ac:dyDescent="0.3">
      <c r="A262" t="s">
        <v>1508</v>
      </c>
      <c r="B262" t="s">
        <v>3784</v>
      </c>
      <c r="D262">
        <f>AVERAGE(42.762,50,4)</f>
        <v>32.253999999999998</v>
      </c>
      <c r="E262">
        <f>AVERAGE(14523,16061)</f>
        <v>15292</v>
      </c>
      <c r="F262">
        <v>48</v>
      </c>
      <c r="G262" s="11"/>
      <c r="H262" t="s">
        <v>341</v>
      </c>
      <c r="I262">
        <v>11342</v>
      </c>
      <c r="J262">
        <v>5576539</v>
      </c>
      <c r="M262" t="s">
        <v>1691</v>
      </c>
      <c r="N262" s="6" t="s">
        <v>2168</v>
      </c>
      <c r="O262">
        <v>5</v>
      </c>
      <c r="P262">
        <v>37.5</v>
      </c>
      <c r="Q262">
        <v>18</v>
      </c>
      <c r="R262">
        <v>5</v>
      </c>
      <c r="S262">
        <v>37.5</v>
      </c>
      <c r="T262" t="s">
        <v>1836</v>
      </c>
      <c r="U262" t="s">
        <v>2009</v>
      </c>
      <c r="V262" t="s">
        <v>2024</v>
      </c>
      <c r="W262" t="s">
        <v>2016</v>
      </c>
      <c r="X262" t="s">
        <v>2039</v>
      </c>
    </row>
    <row r="263" spans="1:24" x14ac:dyDescent="0.3">
      <c r="A263" t="s">
        <v>1510</v>
      </c>
      <c r="B263" t="s">
        <v>3785</v>
      </c>
      <c r="D263">
        <v>38.9</v>
      </c>
      <c r="F263">
        <v>47.5</v>
      </c>
      <c r="G263" s="11"/>
      <c r="H263" t="s">
        <v>383</v>
      </c>
      <c r="I263" t="s">
        <v>383</v>
      </c>
      <c r="J263" t="s">
        <v>383</v>
      </c>
      <c r="M263" t="s">
        <v>1691</v>
      </c>
      <c r="N263" s="6" t="s">
        <v>2168</v>
      </c>
      <c r="O263">
        <v>3</v>
      </c>
      <c r="P263">
        <v>33</v>
      </c>
      <c r="Q263">
        <v>6</v>
      </c>
      <c r="R263">
        <v>3</v>
      </c>
      <c r="S263">
        <v>33</v>
      </c>
      <c r="T263" t="s">
        <v>633</v>
      </c>
      <c r="U263" t="s">
        <v>2009</v>
      </c>
      <c r="V263" t="s">
        <v>2024</v>
      </c>
      <c r="W263" t="s">
        <v>2016</v>
      </c>
      <c r="X263" t="s">
        <v>2039</v>
      </c>
    </row>
    <row r="264" spans="1:24" x14ac:dyDescent="0.3">
      <c r="A264" t="s">
        <v>1512</v>
      </c>
      <c r="B264" t="s">
        <v>3786</v>
      </c>
      <c r="D264">
        <v>45.8</v>
      </c>
      <c r="E264">
        <v>14797</v>
      </c>
      <c r="F264">
        <v>48.5</v>
      </c>
      <c r="G264" s="11"/>
      <c r="H264" t="s">
        <v>340</v>
      </c>
      <c r="I264">
        <v>14797</v>
      </c>
      <c r="J264">
        <v>7394685</v>
      </c>
      <c r="M264" t="s">
        <v>1691</v>
      </c>
      <c r="N264" s="6" t="s">
        <v>2168</v>
      </c>
      <c r="O264">
        <v>5</v>
      </c>
      <c r="P264">
        <v>37.5</v>
      </c>
      <c r="Q264">
        <v>2</v>
      </c>
      <c r="R264">
        <v>5</v>
      </c>
      <c r="S264">
        <v>37.5</v>
      </c>
      <c r="T264" t="s">
        <v>386</v>
      </c>
      <c r="U264" t="s">
        <v>2009</v>
      </c>
      <c r="V264" t="s">
        <v>2024</v>
      </c>
      <c r="W264" t="s">
        <v>2016</v>
      </c>
      <c r="X264" t="s">
        <v>2039</v>
      </c>
    </row>
    <row r="265" spans="1:24" x14ac:dyDescent="0.3">
      <c r="A265" t="s">
        <v>1514</v>
      </c>
      <c r="B265" t="s">
        <v>3787</v>
      </c>
      <c r="D265">
        <f>AVERAGE(42.263,32.232)</f>
        <v>37.247500000000002</v>
      </c>
      <c r="E265">
        <f>AVERAGE(14299,14043)</f>
        <v>14171</v>
      </c>
      <c r="F265">
        <v>48</v>
      </c>
      <c r="G265" s="11"/>
      <c r="H265" t="s">
        <v>1746</v>
      </c>
      <c r="I265">
        <v>11232</v>
      </c>
      <c r="J265">
        <v>6189098</v>
      </c>
      <c r="M265" t="s">
        <v>1691</v>
      </c>
      <c r="N265" s="6" t="s">
        <v>2168</v>
      </c>
      <c r="O265">
        <v>-10</v>
      </c>
      <c r="P265">
        <v>38</v>
      </c>
      <c r="Q265">
        <v>28</v>
      </c>
      <c r="R265">
        <v>-10</v>
      </c>
      <c r="S265">
        <v>38</v>
      </c>
      <c r="T265" t="s">
        <v>1836</v>
      </c>
      <c r="U265" t="s">
        <v>2009</v>
      </c>
      <c r="V265" t="s">
        <v>2024</v>
      </c>
      <c r="W265" t="s">
        <v>2016</v>
      </c>
      <c r="X265" t="s">
        <v>2039</v>
      </c>
    </row>
    <row r="266" spans="1:24" x14ac:dyDescent="0.3">
      <c r="A266" t="s">
        <v>1343</v>
      </c>
      <c r="B266" t="s">
        <v>738</v>
      </c>
      <c r="D266">
        <v>46.5</v>
      </c>
      <c r="E266">
        <v>14521</v>
      </c>
      <c r="F266">
        <v>48</v>
      </c>
      <c r="G266" s="11"/>
      <c r="H266" t="s">
        <v>1746</v>
      </c>
      <c r="I266">
        <v>14518</v>
      </c>
      <c r="J266">
        <v>7266906</v>
      </c>
      <c r="K266">
        <v>5</v>
      </c>
      <c r="L266">
        <v>40</v>
      </c>
      <c r="M266" t="s">
        <v>227</v>
      </c>
      <c r="N266" s="6" t="s">
        <v>2186</v>
      </c>
      <c r="R266">
        <v>5</v>
      </c>
      <c r="S266">
        <v>40</v>
      </c>
      <c r="T266" t="s">
        <v>634</v>
      </c>
      <c r="U266" t="s">
        <v>2009</v>
      </c>
      <c r="V266" t="s">
        <v>2024</v>
      </c>
      <c r="W266" t="s">
        <v>2016</v>
      </c>
      <c r="X266" t="s">
        <v>2039</v>
      </c>
    </row>
    <row r="267" spans="1:24" x14ac:dyDescent="0.3">
      <c r="A267" t="s">
        <v>1516</v>
      </c>
      <c r="B267" t="s">
        <v>3788</v>
      </c>
      <c r="D267">
        <v>36.799999999999997</v>
      </c>
      <c r="F267">
        <v>48.5</v>
      </c>
      <c r="G267" s="11"/>
      <c r="H267" t="s">
        <v>383</v>
      </c>
      <c r="I267" t="s">
        <v>383</v>
      </c>
      <c r="J267" t="s">
        <v>383</v>
      </c>
      <c r="M267" t="s">
        <v>1691</v>
      </c>
      <c r="N267" s="6" t="s">
        <v>2168</v>
      </c>
      <c r="O267">
        <v>5</v>
      </c>
      <c r="P267">
        <v>35.75</v>
      </c>
      <c r="Q267">
        <v>4</v>
      </c>
      <c r="R267">
        <v>5</v>
      </c>
      <c r="S267">
        <v>35.75</v>
      </c>
      <c r="T267" t="s">
        <v>638</v>
      </c>
      <c r="U267" t="s">
        <v>2009</v>
      </c>
      <c r="V267" t="s">
        <v>2024</v>
      </c>
      <c r="W267" t="s">
        <v>2016</v>
      </c>
      <c r="X267" t="s">
        <v>2039</v>
      </c>
    </row>
    <row r="268" spans="1:24" x14ac:dyDescent="0.3">
      <c r="A268" t="s">
        <v>1518</v>
      </c>
      <c r="B268" t="s">
        <v>510</v>
      </c>
      <c r="D268">
        <v>37.9</v>
      </c>
      <c r="F268">
        <v>48.5</v>
      </c>
      <c r="G268" s="11"/>
      <c r="H268" t="s">
        <v>383</v>
      </c>
      <c r="I268" t="s">
        <v>383</v>
      </c>
      <c r="J268" t="s">
        <v>383</v>
      </c>
      <c r="M268" t="s">
        <v>1691</v>
      </c>
      <c r="N268" s="6" t="s">
        <v>2168</v>
      </c>
      <c r="O268">
        <v>5</v>
      </c>
      <c r="P268">
        <v>37.5</v>
      </c>
      <c r="Q268">
        <v>6</v>
      </c>
      <c r="R268">
        <v>5</v>
      </c>
      <c r="S268">
        <v>37.5</v>
      </c>
      <c r="T268" t="s">
        <v>1837</v>
      </c>
      <c r="U268" t="s">
        <v>2009</v>
      </c>
      <c r="V268" t="s">
        <v>2024</v>
      </c>
      <c r="W268" t="s">
        <v>2016</v>
      </c>
      <c r="X268" t="s">
        <v>2039</v>
      </c>
    </row>
    <row r="269" spans="1:24" x14ac:dyDescent="0.3">
      <c r="A269" t="s">
        <v>991</v>
      </c>
      <c r="B269" t="s">
        <v>117</v>
      </c>
      <c r="D269">
        <v>45.548900000000003</v>
      </c>
      <c r="E269">
        <v>13905</v>
      </c>
      <c r="F269">
        <v>47.078400000000002</v>
      </c>
      <c r="G269" s="11"/>
      <c r="H269" t="s">
        <v>340</v>
      </c>
      <c r="I269">
        <v>13905</v>
      </c>
      <c r="J269">
        <v>6933568</v>
      </c>
      <c r="K269">
        <v>5</v>
      </c>
      <c r="L269">
        <v>30</v>
      </c>
      <c r="M269" t="s">
        <v>227</v>
      </c>
      <c r="N269" s="6" t="s">
        <v>2313</v>
      </c>
      <c r="R269">
        <v>5</v>
      </c>
      <c r="S269">
        <v>30</v>
      </c>
      <c r="T269" t="s">
        <v>386</v>
      </c>
      <c r="U269" t="s">
        <v>2009</v>
      </c>
      <c r="V269" t="s">
        <v>2024</v>
      </c>
      <c r="W269" t="s">
        <v>2016</v>
      </c>
      <c r="X269" t="s">
        <v>2039</v>
      </c>
    </row>
    <row r="270" spans="1:24" x14ac:dyDescent="0.3">
      <c r="A270" t="s">
        <v>1344</v>
      </c>
      <c r="B270" t="s">
        <v>3789</v>
      </c>
      <c r="D270">
        <v>37.5</v>
      </c>
      <c r="E270">
        <v>11785</v>
      </c>
      <c r="F270">
        <v>47.5</v>
      </c>
      <c r="G270" s="11"/>
      <c r="H270" t="s">
        <v>1746</v>
      </c>
      <c r="I270">
        <v>12360</v>
      </c>
      <c r="J270">
        <v>5813542</v>
      </c>
      <c r="M270" t="s">
        <v>1691</v>
      </c>
      <c r="N270" s="6" t="s">
        <v>2168</v>
      </c>
      <c r="O270">
        <v>0.5</v>
      </c>
      <c r="P270">
        <v>38</v>
      </c>
      <c r="Q270">
        <v>60</v>
      </c>
      <c r="R270">
        <v>0.5</v>
      </c>
      <c r="S270">
        <v>38</v>
      </c>
      <c r="T270" t="s">
        <v>637</v>
      </c>
      <c r="U270" t="s">
        <v>2009</v>
      </c>
      <c r="V270" t="s">
        <v>2024</v>
      </c>
      <c r="W270" t="s">
        <v>2016</v>
      </c>
      <c r="X270" t="s">
        <v>2039</v>
      </c>
    </row>
    <row r="271" spans="1:24" x14ac:dyDescent="0.3">
      <c r="A271" t="s">
        <v>992</v>
      </c>
      <c r="B271" t="s">
        <v>521</v>
      </c>
      <c r="D271">
        <v>41.082000000000001</v>
      </c>
      <c r="E271">
        <v>13772</v>
      </c>
      <c r="F271">
        <v>48.2</v>
      </c>
      <c r="G271" s="11"/>
      <c r="H271" t="s">
        <v>3707</v>
      </c>
      <c r="I271">
        <v>13772</v>
      </c>
      <c r="J271">
        <v>6702877</v>
      </c>
      <c r="K271">
        <v>7</v>
      </c>
      <c r="L271">
        <v>34</v>
      </c>
      <c r="M271" t="s">
        <v>228</v>
      </c>
      <c r="N271" s="6" t="s">
        <v>2314</v>
      </c>
      <c r="O271">
        <v>5</v>
      </c>
      <c r="P271">
        <v>37.5</v>
      </c>
      <c r="Q271">
        <v>6</v>
      </c>
      <c r="R271">
        <v>5</v>
      </c>
      <c r="S271">
        <v>37.5</v>
      </c>
      <c r="T271" t="s">
        <v>385</v>
      </c>
      <c r="U271" t="s">
        <v>2009</v>
      </c>
      <c r="V271" t="s">
        <v>2024</v>
      </c>
      <c r="W271" t="s">
        <v>2016</v>
      </c>
      <c r="X271" t="s">
        <v>2039</v>
      </c>
    </row>
    <row r="272" spans="1:24" x14ac:dyDescent="0.3">
      <c r="A272" t="s">
        <v>1521</v>
      </c>
      <c r="B272" t="s">
        <v>3790</v>
      </c>
      <c r="D272">
        <v>40.799999999999997</v>
      </c>
      <c r="F272">
        <v>47.5</v>
      </c>
      <c r="G272" s="11"/>
      <c r="H272" t="s">
        <v>383</v>
      </c>
      <c r="I272" t="s">
        <v>383</v>
      </c>
      <c r="J272" t="s">
        <v>383</v>
      </c>
      <c r="M272" t="s">
        <v>1691</v>
      </c>
      <c r="N272" s="6" t="s">
        <v>2168</v>
      </c>
      <c r="O272">
        <v>5</v>
      </c>
      <c r="P272">
        <v>35.75</v>
      </c>
      <c r="Q272">
        <v>2</v>
      </c>
      <c r="R272">
        <v>5</v>
      </c>
      <c r="S272">
        <v>35.75</v>
      </c>
      <c r="T272" t="s">
        <v>1836</v>
      </c>
      <c r="U272" t="s">
        <v>2009</v>
      </c>
      <c r="V272" t="s">
        <v>2024</v>
      </c>
      <c r="W272" t="s">
        <v>2016</v>
      </c>
      <c r="X272" t="s">
        <v>2039</v>
      </c>
    </row>
    <row r="273" spans="1:24" x14ac:dyDescent="0.3">
      <c r="A273" t="s">
        <v>993</v>
      </c>
      <c r="B273" t="s">
        <v>576</v>
      </c>
      <c r="C273" t="s">
        <v>2043</v>
      </c>
      <c r="D273">
        <v>41.776000000000003</v>
      </c>
      <c r="E273">
        <v>20553</v>
      </c>
      <c r="F273">
        <v>48.5</v>
      </c>
      <c r="G273" s="11"/>
      <c r="H273" t="s">
        <v>1746</v>
      </c>
      <c r="I273">
        <v>15890</v>
      </c>
      <c r="J273">
        <v>7127214</v>
      </c>
      <c r="K273">
        <v>7.5</v>
      </c>
      <c r="L273">
        <v>36</v>
      </c>
      <c r="M273" t="s">
        <v>227</v>
      </c>
      <c r="N273" s="6" t="s">
        <v>2315</v>
      </c>
      <c r="O273">
        <v>3</v>
      </c>
      <c r="P273">
        <v>40</v>
      </c>
      <c r="Q273">
        <v>94</v>
      </c>
      <c r="R273">
        <v>3</v>
      </c>
      <c r="S273">
        <v>40</v>
      </c>
      <c r="T273" t="s">
        <v>386</v>
      </c>
      <c r="U273" t="s">
        <v>2009</v>
      </c>
      <c r="V273" t="s">
        <v>2024</v>
      </c>
      <c r="W273" t="s">
        <v>2016</v>
      </c>
      <c r="X273" t="s">
        <v>2039</v>
      </c>
    </row>
    <row r="274" spans="1:24" x14ac:dyDescent="0.3">
      <c r="A274" t="s">
        <v>994</v>
      </c>
      <c r="B274" t="s">
        <v>81</v>
      </c>
      <c r="C274" t="s">
        <v>752</v>
      </c>
      <c r="D274" s="15">
        <f>AVERAGE(36.825,36.446)</f>
        <v>36.6355</v>
      </c>
      <c r="E274">
        <f>AVERAGE(12411,13322)</f>
        <v>12866.5</v>
      </c>
      <c r="F274">
        <v>48.3</v>
      </c>
      <c r="G274" s="11"/>
      <c r="H274" t="s">
        <v>1746</v>
      </c>
      <c r="I274">
        <v>14145</v>
      </c>
      <c r="J274">
        <v>6385996</v>
      </c>
      <c r="K274">
        <v>11</v>
      </c>
      <c r="L274">
        <v>34</v>
      </c>
      <c r="M274" t="s">
        <v>227</v>
      </c>
      <c r="N274" s="6" t="s">
        <v>2316</v>
      </c>
      <c r="O274">
        <v>3</v>
      </c>
      <c r="P274">
        <v>39</v>
      </c>
      <c r="Q274">
        <v>149</v>
      </c>
      <c r="R274">
        <v>3</v>
      </c>
      <c r="S274">
        <v>39</v>
      </c>
      <c r="T274" t="s">
        <v>637</v>
      </c>
      <c r="U274" t="s">
        <v>2009</v>
      </c>
      <c r="V274" t="s">
        <v>2024</v>
      </c>
      <c r="W274" t="s">
        <v>2016</v>
      </c>
      <c r="X274" t="s">
        <v>2039</v>
      </c>
    </row>
    <row r="275" spans="1:24" x14ac:dyDescent="0.3">
      <c r="A275" t="s">
        <v>1523</v>
      </c>
      <c r="B275" t="s">
        <v>3791</v>
      </c>
      <c r="D275">
        <v>35</v>
      </c>
      <c r="E275">
        <v>11163</v>
      </c>
      <c r="F275">
        <v>49</v>
      </c>
      <c r="G275" s="11"/>
      <c r="H275" t="s">
        <v>340</v>
      </c>
      <c r="I275">
        <v>11163</v>
      </c>
      <c r="J275">
        <v>5747457</v>
      </c>
      <c r="M275" t="s">
        <v>1691</v>
      </c>
      <c r="N275" s="6" t="s">
        <v>2168</v>
      </c>
      <c r="O275">
        <v>5</v>
      </c>
      <c r="P275">
        <v>37.5</v>
      </c>
      <c r="Q275">
        <v>7</v>
      </c>
      <c r="R275">
        <v>5</v>
      </c>
      <c r="S275">
        <v>37.5</v>
      </c>
      <c r="T275" t="s">
        <v>636</v>
      </c>
      <c r="U275" t="s">
        <v>2009</v>
      </c>
      <c r="V275" t="s">
        <v>2024</v>
      </c>
      <c r="W275" t="s">
        <v>2016</v>
      </c>
      <c r="X275" t="s">
        <v>2039</v>
      </c>
    </row>
    <row r="276" spans="1:24" x14ac:dyDescent="0.3">
      <c r="A276" t="s">
        <v>995</v>
      </c>
      <c r="B276" t="s">
        <v>552</v>
      </c>
      <c r="D276">
        <v>35.700000000000003</v>
      </c>
      <c r="E276">
        <v>11332</v>
      </c>
      <c r="F276">
        <v>48.5</v>
      </c>
      <c r="G276" s="11"/>
      <c r="H276" t="s">
        <v>1746</v>
      </c>
      <c r="I276">
        <v>11330</v>
      </c>
      <c r="J276">
        <v>5812529</v>
      </c>
      <c r="K276">
        <v>12</v>
      </c>
      <c r="L276">
        <v>33</v>
      </c>
      <c r="M276" t="s">
        <v>228</v>
      </c>
      <c r="N276" s="6" t="s">
        <v>2316</v>
      </c>
      <c r="O276">
        <v>5</v>
      </c>
      <c r="P276">
        <v>37.5</v>
      </c>
      <c r="Q276">
        <v>6</v>
      </c>
      <c r="R276">
        <v>5</v>
      </c>
      <c r="S276">
        <v>37.5</v>
      </c>
      <c r="T276" t="s">
        <v>636</v>
      </c>
      <c r="U276" t="s">
        <v>2009</v>
      </c>
      <c r="V276" t="s">
        <v>2024</v>
      </c>
      <c r="W276" t="s">
        <v>2016</v>
      </c>
      <c r="X276" t="s">
        <v>2039</v>
      </c>
    </row>
    <row r="277" spans="1:24" x14ac:dyDescent="0.3">
      <c r="A277" t="s">
        <v>996</v>
      </c>
      <c r="B277" t="s">
        <v>277</v>
      </c>
      <c r="D277" s="15">
        <v>38.259099999999997</v>
      </c>
      <c r="F277">
        <v>48.5</v>
      </c>
      <c r="G277" s="11"/>
      <c r="H277" t="s">
        <v>383</v>
      </c>
      <c r="I277" t="s">
        <v>383</v>
      </c>
      <c r="J277" t="s">
        <v>383</v>
      </c>
      <c r="K277">
        <v>20</v>
      </c>
      <c r="L277">
        <v>45</v>
      </c>
      <c r="M277" t="s">
        <v>226</v>
      </c>
      <c r="N277" s="6" t="s">
        <v>2317</v>
      </c>
      <c r="O277">
        <v>5</v>
      </c>
      <c r="P277">
        <v>37.5</v>
      </c>
      <c r="Q277">
        <v>43</v>
      </c>
      <c r="R277">
        <v>5</v>
      </c>
      <c r="S277">
        <v>45</v>
      </c>
      <c r="T277" t="s">
        <v>385</v>
      </c>
      <c r="U277" t="s">
        <v>2009</v>
      </c>
      <c r="V277" t="s">
        <v>2024</v>
      </c>
      <c r="W277" t="s">
        <v>2016</v>
      </c>
      <c r="X277" t="s">
        <v>2039</v>
      </c>
    </row>
    <row r="278" spans="1:24" x14ac:dyDescent="0.3">
      <c r="A278" t="s">
        <v>997</v>
      </c>
      <c r="B278" t="s">
        <v>193</v>
      </c>
      <c r="D278">
        <v>37.542999999999999</v>
      </c>
      <c r="E278">
        <v>11940</v>
      </c>
      <c r="F278">
        <v>48.25</v>
      </c>
      <c r="G278" s="11"/>
      <c r="H278" t="s">
        <v>1746</v>
      </c>
      <c r="I278">
        <v>11939</v>
      </c>
      <c r="J278">
        <v>5804898</v>
      </c>
      <c r="K278">
        <v>8</v>
      </c>
      <c r="L278">
        <v>35</v>
      </c>
      <c r="M278" t="s">
        <v>228</v>
      </c>
      <c r="N278" s="6" t="s">
        <v>2318</v>
      </c>
      <c r="R278">
        <v>8</v>
      </c>
      <c r="S278">
        <v>35</v>
      </c>
      <c r="T278" t="s">
        <v>637</v>
      </c>
      <c r="U278" t="s">
        <v>2009</v>
      </c>
      <c r="V278" t="s">
        <v>2024</v>
      </c>
      <c r="W278" t="s">
        <v>2016</v>
      </c>
      <c r="X278" t="s">
        <v>2039</v>
      </c>
    </row>
    <row r="279" spans="1:24" x14ac:dyDescent="0.3">
      <c r="A279" t="s">
        <v>1525</v>
      </c>
      <c r="B279" t="s">
        <v>3792</v>
      </c>
      <c r="D279">
        <v>48.863999999999997</v>
      </c>
      <c r="E279">
        <v>15798</v>
      </c>
      <c r="F279">
        <v>49</v>
      </c>
      <c r="G279" s="11"/>
      <c r="H279" t="s">
        <v>3707</v>
      </c>
      <c r="I279">
        <v>15798</v>
      </c>
      <c r="J279">
        <v>7832963</v>
      </c>
      <c r="M279" t="s">
        <v>1691</v>
      </c>
      <c r="N279" s="6" t="s">
        <v>2168</v>
      </c>
      <c r="O279">
        <v>5</v>
      </c>
      <c r="P279">
        <v>35.75</v>
      </c>
      <c r="Q279">
        <v>38</v>
      </c>
      <c r="R279">
        <v>5</v>
      </c>
      <c r="S279">
        <v>35.75</v>
      </c>
      <c r="T279" t="s">
        <v>639</v>
      </c>
      <c r="U279" t="s">
        <v>2009</v>
      </c>
      <c r="V279" t="s">
        <v>2024</v>
      </c>
      <c r="W279" t="s">
        <v>2016</v>
      </c>
      <c r="X279" t="s">
        <v>2039</v>
      </c>
    </row>
    <row r="280" spans="1:24" x14ac:dyDescent="0.3">
      <c r="A280" t="s">
        <v>1345</v>
      </c>
      <c r="B280" t="s">
        <v>3793</v>
      </c>
      <c r="D280">
        <v>35.299999999999997</v>
      </c>
      <c r="E280">
        <v>11421</v>
      </c>
      <c r="F280">
        <v>48</v>
      </c>
      <c r="G280" s="11"/>
      <c r="H280" t="s">
        <v>1746</v>
      </c>
      <c r="I280">
        <v>11420</v>
      </c>
      <c r="J280">
        <v>5842010</v>
      </c>
      <c r="M280" t="s">
        <v>1691</v>
      </c>
      <c r="N280" s="6" t="s">
        <v>2168</v>
      </c>
      <c r="O280">
        <v>5</v>
      </c>
      <c r="P280">
        <v>37.5</v>
      </c>
      <c r="Q280">
        <v>2</v>
      </c>
      <c r="R280">
        <v>5</v>
      </c>
      <c r="S280">
        <v>37.5</v>
      </c>
      <c r="T280" t="s">
        <v>637</v>
      </c>
      <c r="U280" t="s">
        <v>2009</v>
      </c>
      <c r="V280" t="s">
        <v>2024</v>
      </c>
      <c r="W280" t="s">
        <v>2016</v>
      </c>
      <c r="X280" t="s">
        <v>2039</v>
      </c>
    </row>
    <row r="281" spans="1:24" x14ac:dyDescent="0.3">
      <c r="A281" t="s">
        <v>1346</v>
      </c>
      <c r="B281" t="s">
        <v>739</v>
      </c>
      <c r="D281">
        <v>48.7</v>
      </c>
      <c r="E281">
        <v>17904</v>
      </c>
      <c r="F281">
        <v>51.5</v>
      </c>
      <c r="G281" s="11"/>
      <c r="H281" t="s">
        <v>1746</v>
      </c>
      <c r="I281">
        <v>17739</v>
      </c>
      <c r="J281">
        <v>7717122</v>
      </c>
      <c r="K281">
        <v>7</v>
      </c>
      <c r="L281">
        <v>35</v>
      </c>
      <c r="M281" t="s">
        <v>228</v>
      </c>
      <c r="N281" s="6" t="s">
        <v>2319</v>
      </c>
      <c r="R281">
        <v>7</v>
      </c>
      <c r="S281">
        <v>35</v>
      </c>
      <c r="T281" t="s">
        <v>635</v>
      </c>
      <c r="U281" t="s">
        <v>2009</v>
      </c>
      <c r="V281" t="s">
        <v>2024</v>
      </c>
      <c r="W281" t="s">
        <v>2016</v>
      </c>
      <c r="X281" t="s">
        <v>2039</v>
      </c>
    </row>
    <row r="282" spans="1:24" x14ac:dyDescent="0.3">
      <c r="A282" t="s">
        <v>998</v>
      </c>
      <c r="B282" t="s">
        <v>66</v>
      </c>
      <c r="D282">
        <f>AVERAGE(56.732,58,73.302,67.018,67.09,71.466,49.425,67.983,50.358,65.559,48.455,57.218,50.071,55.311,55.964,53.956,53.5562,56.628,55.422,57.881,53.047,56.59,54.034,53.575,48.637,49.664,52.914,47.906,55.188,46.553,49.359,53.499,55.839,55.719,52.242,52.563,61.357)</f>
        <v>55.948140540540543</v>
      </c>
      <c r="E282">
        <f>AVERAGE(18076,18527,20063,19180,19272,19358,16048,19130,16207,19411,16047,17996,16631,17672,17958,17461,17114,17876,17736,18482,16942,17966,26719,26246,24733,24818,25216,23735,26378,22847,24739,25666,18001,17726,17445,17051,27347)</f>
        <v>20103.243243243243</v>
      </c>
      <c r="F282">
        <v>47.5</v>
      </c>
      <c r="G282" s="11"/>
      <c r="H282" t="s">
        <v>1746</v>
      </c>
      <c r="I282">
        <v>15431</v>
      </c>
      <c r="J282">
        <v>7277012</v>
      </c>
      <c r="K282">
        <v>7</v>
      </c>
      <c r="L282">
        <v>35</v>
      </c>
      <c r="M282" t="s">
        <v>226</v>
      </c>
      <c r="N282" s="6" t="s">
        <v>2320</v>
      </c>
      <c r="O282">
        <v>3</v>
      </c>
      <c r="P282">
        <v>40</v>
      </c>
      <c r="Q282">
        <v>842</v>
      </c>
      <c r="R282">
        <v>3</v>
      </c>
      <c r="S282">
        <v>40</v>
      </c>
      <c r="T282" t="s">
        <v>1838</v>
      </c>
      <c r="U282" t="s">
        <v>2009</v>
      </c>
      <c r="V282" t="s">
        <v>2024</v>
      </c>
      <c r="W282" t="s">
        <v>2016</v>
      </c>
      <c r="X282" t="s">
        <v>2039</v>
      </c>
    </row>
    <row r="283" spans="1:24" x14ac:dyDescent="0.3">
      <c r="A283" t="s">
        <v>1561</v>
      </c>
      <c r="B283" t="s">
        <v>3794</v>
      </c>
      <c r="D283">
        <v>50.5</v>
      </c>
      <c r="F283">
        <v>50</v>
      </c>
      <c r="G283" s="11"/>
      <c r="H283" t="s">
        <v>383</v>
      </c>
      <c r="I283" t="s">
        <v>383</v>
      </c>
      <c r="J283" t="s">
        <v>383</v>
      </c>
      <c r="M283" t="s">
        <v>1691</v>
      </c>
      <c r="N283" s="6" t="s">
        <v>2168</v>
      </c>
      <c r="O283">
        <v>5</v>
      </c>
      <c r="P283">
        <v>37.5</v>
      </c>
      <c r="Q283">
        <v>10</v>
      </c>
      <c r="R283">
        <v>5</v>
      </c>
      <c r="S283">
        <v>37.5</v>
      </c>
      <c r="T283" t="s">
        <v>635</v>
      </c>
      <c r="U283" t="s">
        <v>2009</v>
      </c>
      <c r="V283" t="s">
        <v>2024</v>
      </c>
      <c r="W283" t="s">
        <v>2016</v>
      </c>
      <c r="X283" t="s">
        <v>2039</v>
      </c>
    </row>
    <row r="284" spans="1:24" x14ac:dyDescent="0.3">
      <c r="A284" t="s">
        <v>999</v>
      </c>
      <c r="B284" t="s">
        <v>194</v>
      </c>
      <c r="D284">
        <v>43.4</v>
      </c>
      <c r="E284">
        <v>14160</v>
      </c>
      <c r="F284">
        <v>48.4</v>
      </c>
      <c r="G284" s="11"/>
      <c r="H284" t="s">
        <v>1746</v>
      </c>
      <c r="I284">
        <v>14159</v>
      </c>
      <c r="J284">
        <v>7074977</v>
      </c>
      <c r="K284">
        <v>7</v>
      </c>
      <c r="L284">
        <v>35</v>
      </c>
      <c r="M284" t="s">
        <v>228</v>
      </c>
      <c r="N284" s="6" t="s">
        <v>2321</v>
      </c>
      <c r="R284">
        <v>7</v>
      </c>
      <c r="S284">
        <v>35</v>
      </c>
      <c r="T284" t="s">
        <v>386</v>
      </c>
      <c r="U284" t="s">
        <v>2009</v>
      </c>
      <c r="V284" t="s">
        <v>2024</v>
      </c>
      <c r="W284" t="s">
        <v>2016</v>
      </c>
      <c r="X284" t="s">
        <v>2039</v>
      </c>
    </row>
    <row r="285" spans="1:24" x14ac:dyDescent="0.3">
      <c r="A285" t="s">
        <v>1000</v>
      </c>
      <c r="B285" t="s">
        <v>553</v>
      </c>
      <c r="D285">
        <f>AVERAGE(44.047,46.476)</f>
        <v>45.261499999999998</v>
      </c>
      <c r="E285">
        <f>AVERAGE(13865,1474)</f>
        <v>7669.5</v>
      </c>
      <c r="F285">
        <v>46.5</v>
      </c>
      <c r="G285" s="11"/>
      <c r="H285" t="s">
        <v>1746</v>
      </c>
      <c r="I285">
        <v>14048</v>
      </c>
      <c r="J285">
        <v>7061983</v>
      </c>
      <c r="K285">
        <v>6</v>
      </c>
      <c r="L285">
        <v>34</v>
      </c>
      <c r="M285" t="s">
        <v>228</v>
      </c>
      <c r="N285" s="6" t="s">
        <v>2318</v>
      </c>
      <c r="O285">
        <v>5</v>
      </c>
      <c r="P285">
        <v>37</v>
      </c>
      <c r="Q285">
        <v>13</v>
      </c>
      <c r="R285">
        <v>5</v>
      </c>
      <c r="S285">
        <v>37</v>
      </c>
      <c r="T285" t="s">
        <v>637</v>
      </c>
      <c r="U285" t="s">
        <v>2009</v>
      </c>
      <c r="V285" t="s">
        <v>2024</v>
      </c>
      <c r="W285" t="s">
        <v>2016</v>
      </c>
      <c r="X285" t="s">
        <v>2039</v>
      </c>
    </row>
    <row r="286" spans="1:24" ht="15" customHeight="1" x14ac:dyDescent="0.3">
      <c r="A286" t="s">
        <v>1001</v>
      </c>
      <c r="B286" t="s">
        <v>48</v>
      </c>
      <c r="D286">
        <f>AVERAGE(61.905,45.772,43.166,45.21)</f>
        <v>49.013249999999999</v>
      </c>
      <c r="E286">
        <f>AVERAGE(19779,16174,15254,16143)</f>
        <v>16837.5</v>
      </c>
      <c r="F286">
        <v>48.5</v>
      </c>
      <c r="G286" s="11"/>
      <c r="H286" t="s">
        <v>340</v>
      </c>
      <c r="I286">
        <v>16143</v>
      </c>
      <c r="J286">
        <v>7658613</v>
      </c>
      <c r="K286">
        <v>4.5</v>
      </c>
      <c r="L286">
        <v>32</v>
      </c>
      <c r="M286" t="s">
        <v>227</v>
      </c>
      <c r="N286" s="6" t="s">
        <v>2322</v>
      </c>
      <c r="R286">
        <v>4.5</v>
      </c>
      <c r="S286">
        <v>32</v>
      </c>
      <c r="T286" t="s">
        <v>386</v>
      </c>
      <c r="U286" t="s">
        <v>2009</v>
      </c>
      <c r="V286" t="s">
        <v>2024</v>
      </c>
      <c r="W286" t="s">
        <v>2016</v>
      </c>
      <c r="X286" t="s">
        <v>2039</v>
      </c>
    </row>
    <row r="287" spans="1:24" x14ac:dyDescent="0.3">
      <c r="A287" t="s">
        <v>1002</v>
      </c>
      <c r="B287" t="s">
        <v>96</v>
      </c>
      <c r="D287">
        <v>36.33</v>
      </c>
      <c r="E287">
        <v>12395</v>
      </c>
      <c r="F287">
        <v>47.698900000000002</v>
      </c>
      <c r="G287" s="11"/>
      <c r="H287" t="s">
        <v>1746</v>
      </c>
      <c r="I287">
        <v>12448</v>
      </c>
      <c r="J287">
        <v>6037494</v>
      </c>
      <c r="K287">
        <v>4</v>
      </c>
      <c r="L287">
        <v>30</v>
      </c>
      <c r="M287" t="s">
        <v>226</v>
      </c>
      <c r="N287" s="6" t="s">
        <v>2323</v>
      </c>
      <c r="R287">
        <v>4</v>
      </c>
      <c r="S287">
        <v>30</v>
      </c>
      <c r="T287" t="s">
        <v>637</v>
      </c>
      <c r="U287" t="s">
        <v>2009</v>
      </c>
      <c r="V287" t="s">
        <v>2024</v>
      </c>
      <c r="W287" t="s">
        <v>2016</v>
      </c>
      <c r="X287" t="s">
        <v>2039</v>
      </c>
    </row>
    <row r="288" spans="1:24" x14ac:dyDescent="0.3">
      <c r="A288" t="s">
        <v>1347</v>
      </c>
      <c r="B288" t="s">
        <v>740</v>
      </c>
      <c r="D288">
        <v>52.6</v>
      </c>
      <c r="E288">
        <v>17353</v>
      </c>
      <c r="F288">
        <v>47</v>
      </c>
      <c r="G288" s="11"/>
      <c r="H288" t="s">
        <v>1746</v>
      </c>
      <c r="I288">
        <v>17005</v>
      </c>
      <c r="J288">
        <v>7849147</v>
      </c>
      <c r="K288">
        <v>4.5</v>
      </c>
      <c r="L288">
        <v>31</v>
      </c>
      <c r="M288" t="s">
        <v>227</v>
      </c>
      <c r="N288" s="6" t="s">
        <v>2322</v>
      </c>
      <c r="O288">
        <v>5</v>
      </c>
      <c r="P288">
        <v>37.5</v>
      </c>
      <c r="Q288">
        <v>7</v>
      </c>
      <c r="R288">
        <v>4.5</v>
      </c>
      <c r="S288">
        <v>37.5</v>
      </c>
      <c r="T288" t="s">
        <v>1839</v>
      </c>
      <c r="U288" t="s">
        <v>2009</v>
      </c>
      <c r="V288" t="s">
        <v>2024</v>
      </c>
      <c r="W288" t="s">
        <v>2016</v>
      </c>
      <c r="X288" t="s">
        <v>2039</v>
      </c>
    </row>
    <row r="289" spans="1:24" x14ac:dyDescent="0.3">
      <c r="A289" t="s">
        <v>1528</v>
      </c>
      <c r="B289" t="s">
        <v>3795</v>
      </c>
      <c r="D289">
        <v>38.4</v>
      </c>
      <c r="E289">
        <v>12893</v>
      </c>
      <c r="F289">
        <v>47</v>
      </c>
      <c r="G289" s="11"/>
      <c r="H289" t="s">
        <v>341</v>
      </c>
      <c r="I289">
        <v>12893</v>
      </c>
      <c r="J289">
        <v>6332195</v>
      </c>
      <c r="M289" t="s">
        <v>1691</v>
      </c>
      <c r="N289" s="6" t="s">
        <v>2168</v>
      </c>
      <c r="O289">
        <v>0</v>
      </c>
      <c r="P289">
        <v>38</v>
      </c>
      <c r="Q289">
        <v>29</v>
      </c>
      <c r="R289">
        <v>0</v>
      </c>
      <c r="S289">
        <v>38</v>
      </c>
      <c r="T289" t="s">
        <v>637</v>
      </c>
      <c r="U289" t="s">
        <v>2009</v>
      </c>
      <c r="V289" t="s">
        <v>2024</v>
      </c>
      <c r="W289" t="s">
        <v>2016</v>
      </c>
      <c r="X289" t="s">
        <v>2039</v>
      </c>
    </row>
    <row r="290" spans="1:24" x14ac:dyDescent="0.3">
      <c r="A290" t="s">
        <v>1003</v>
      </c>
      <c r="B290" t="s">
        <v>35</v>
      </c>
      <c r="D290">
        <v>52.932000000000002</v>
      </c>
      <c r="E290">
        <v>17656</v>
      </c>
      <c r="F290">
        <v>51</v>
      </c>
      <c r="G290" s="11"/>
      <c r="H290" t="s">
        <v>1746</v>
      </c>
      <c r="I290">
        <v>17641</v>
      </c>
      <c r="J290">
        <v>8285100</v>
      </c>
      <c r="K290">
        <v>11</v>
      </c>
      <c r="L290">
        <v>35</v>
      </c>
      <c r="M290" t="s">
        <v>226</v>
      </c>
      <c r="N290" s="6" t="s">
        <v>2324</v>
      </c>
      <c r="O290">
        <v>5</v>
      </c>
      <c r="P290">
        <v>39</v>
      </c>
      <c r="Q290">
        <v>117</v>
      </c>
      <c r="R290">
        <v>5</v>
      </c>
      <c r="S290">
        <v>39</v>
      </c>
      <c r="T290" t="s">
        <v>635</v>
      </c>
      <c r="U290" t="s">
        <v>2009</v>
      </c>
      <c r="V290" t="s">
        <v>2024</v>
      </c>
      <c r="W290" t="s">
        <v>2016</v>
      </c>
      <c r="X290" t="s">
        <v>2039</v>
      </c>
    </row>
    <row r="291" spans="1:24" x14ac:dyDescent="0.3">
      <c r="A291" t="s">
        <v>1004</v>
      </c>
      <c r="B291" t="s">
        <v>39</v>
      </c>
      <c r="C291" t="s">
        <v>510</v>
      </c>
      <c r="D291">
        <v>37.754600000000003</v>
      </c>
      <c r="E291">
        <v>11961</v>
      </c>
      <c r="F291">
        <v>48.05</v>
      </c>
      <c r="G291" s="11"/>
      <c r="H291" t="s">
        <v>1746</v>
      </c>
      <c r="I291">
        <v>11960</v>
      </c>
      <c r="J291">
        <v>6079613</v>
      </c>
      <c r="K291">
        <v>7</v>
      </c>
      <c r="L291">
        <v>34</v>
      </c>
      <c r="M291" t="s">
        <v>228</v>
      </c>
      <c r="N291" s="6" t="s">
        <v>2318</v>
      </c>
      <c r="O291">
        <v>3</v>
      </c>
      <c r="P291">
        <v>33</v>
      </c>
      <c r="Q291">
        <v>6</v>
      </c>
      <c r="R291">
        <v>3</v>
      </c>
      <c r="S291">
        <v>34</v>
      </c>
      <c r="T291" t="s">
        <v>637</v>
      </c>
      <c r="U291" t="s">
        <v>2009</v>
      </c>
      <c r="V291" t="s">
        <v>2024</v>
      </c>
      <c r="W291" t="s">
        <v>2016</v>
      </c>
      <c r="X291" t="s">
        <v>2039</v>
      </c>
    </row>
    <row r="292" spans="1:24" x14ac:dyDescent="0.3">
      <c r="A292" t="s">
        <v>1005</v>
      </c>
      <c r="B292" t="s">
        <v>554</v>
      </c>
      <c r="D292">
        <v>43.692999999999998</v>
      </c>
      <c r="E292">
        <v>14016</v>
      </c>
      <c r="F292">
        <v>47.5</v>
      </c>
      <c r="G292" s="11"/>
      <c r="H292" t="s">
        <v>1746</v>
      </c>
      <c r="I292">
        <v>14098</v>
      </c>
      <c r="J292">
        <v>6813057</v>
      </c>
      <c r="K292">
        <v>0</v>
      </c>
      <c r="L292">
        <v>33</v>
      </c>
      <c r="M292" t="s">
        <v>227</v>
      </c>
      <c r="N292" s="6" t="s">
        <v>2324</v>
      </c>
      <c r="O292">
        <v>0</v>
      </c>
      <c r="P292">
        <v>38</v>
      </c>
      <c r="Q292">
        <v>37</v>
      </c>
      <c r="R292">
        <v>0</v>
      </c>
      <c r="S292">
        <v>38</v>
      </c>
      <c r="T292" t="s">
        <v>1836</v>
      </c>
      <c r="U292" t="s">
        <v>2009</v>
      </c>
      <c r="V292" t="s">
        <v>2024</v>
      </c>
      <c r="W292" t="s">
        <v>2016</v>
      </c>
      <c r="X292" t="s">
        <v>2039</v>
      </c>
    </row>
    <row r="293" spans="1:24" x14ac:dyDescent="0.3">
      <c r="A293" t="s">
        <v>1348</v>
      </c>
      <c r="B293" t="s">
        <v>3796</v>
      </c>
      <c r="D293">
        <v>51.3</v>
      </c>
      <c r="E293">
        <v>15708</v>
      </c>
      <c r="F293">
        <v>51</v>
      </c>
      <c r="G293" s="11"/>
      <c r="H293" t="s">
        <v>1746</v>
      </c>
      <c r="I293">
        <v>15709</v>
      </c>
      <c r="J293">
        <v>7536017</v>
      </c>
      <c r="M293" t="s">
        <v>1691</v>
      </c>
      <c r="N293" s="6" t="s">
        <v>2168</v>
      </c>
      <c r="O293">
        <v>5</v>
      </c>
      <c r="P293">
        <v>37.5</v>
      </c>
      <c r="Q293">
        <v>2</v>
      </c>
      <c r="R293">
        <v>5</v>
      </c>
      <c r="S293">
        <v>37.5</v>
      </c>
      <c r="T293" t="s">
        <v>635</v>
      </c>
      <c r="U293" t="s">
        <v>2009</v>
      </c>
      <c r="V293" t="s">
        <v>2024</v>
      </c>
      <c r="W293" t="s">
        <v>2016</v>
      </c>
      <c r="X293" t="s">
        <v>2039</v>
      </c>
    </row>
    <row r="294" spans="1:24" x14ac:dyDescent="0.3">
      <c r="A294" t="s">
        <v>1530</v>
      </c>
      <c r="B294" t="s">
        <v>3797</v>
      </c>
      <c r="D294">
        <v>43.618000000000002</v>
      </c>
      <c r="E294">
        <v>14655</v>
      </c>
      <c r="F294">
        <v>57</v>
      </c>
      <c r="G294" s="11"/>
      <c r="H294" t="s">
        <v>3707</v>
      </c>
      <c r="I294">
        <v>14655</v>
      </c>
      <c r="J294">
        <v>6311770</v>
      </c>
      <c r="M294" t="s">
        <v>1691</v>
      </c>
      <c r="N294" s="6" t="s">
        <v>2168</v>
      </c>
      <c r="O294">
        <v>2.5</v>
      </c>
      <c r="P294">
        <v>35</v>
      </c>
      <c r="Q294">
        <v>54</v>
      </c>
      <c r="R294">
        <v>2.5</v>
      </c>
      <c r="S294">
        <v>35</v>
      </c>
      <c r="T294" t="s">
        <v>1840</v>
      </c>
      <c r="U294" t="s">
        <v>2009</v>
      </c>
      <c r="V294" t="s">
        <v>2024</v>
      </c>
      <c r="W294" t="s">
        <v>2016</v>
      </c>
      <c r="X294" t="s">
        <v>2039</v>
      </c>
    </row>
    <row r="295" spans="1:24" x14ac:dyDescent="0.3">
      <c r="A295" t="s">
        <v>1006</v>
      </c>
      <c r="B295" t="s">
        <v>287</v>
      </c>
      <c r="D295">
        <v>43.292999999999999</v>
      </c>
      <c r="E295">
        <v>14076</v>
      </c>
      <c r="F295">
        <v>55.9</v>
      </c>
      <c r="G295" s="11"/>
      <c r="H295" t="s">
        <v>383</v>
      </c>
      <c r="I295">
        <v>14076</v>
      </c>
      <c r="J295">
        <v>6181514</v>
      </c>
      <c r="K295">
        <v>15</v>
      </c>
      <c r="L295">
        <v>35</v>
      </c>
      <c r="M295" t="s">
        <v>226</v>
      </c>
      <c r="N295" s="6" t="s">
        <v>2325</v>
      </c>
      <c r="O295">
        <v>9</v>
      </c>
      <c r="P295">
        <v>46</v>
      </c>
      <c r="Q295">
        <v>10</v>
      </c>
      <c r="R295">
        <v>9</v>
      </c>
      <c r="S295">
        <v>46</v>
      </c>
      <c r="T295" t="s">
        <v>1841</v>
      </c>
      <c r="U295" t="s">
        <v>2009</v>
      </c>
      <c r="V295" t="s">
        <v>2024</v>
      </c>
      <c r="W295" t="s">
        <v>2015</v>
      </c>
      <c r="X295" t="s">
        <v>3039</v>
      </c>
    </row>
    <row r="296" spans="1:24" x14ac:dyDescent="0.3">
      <c r="A296" t="s">
        <v>1007</v>
      </c>
      <c r="B296" t="s">
        <v>95</v>
      </c>
      <c r="D296">
        <v>48.9557</v>
      </c>
      <c r="E296">
        <v>15478</v>
      </c>
      <c r="F296">
        <v>55.6</v>
      </c>
      <c r="G296" s="11"/>
      <c r="H296" t="s">
        <v>1746</v>
      </c>
      <c r="I296">
        <v>15394</v>
      </c>
      <c r="J296">
        <v>6730433</v>
      </c>
      <c r="K296">
        <v>14</v>
      </c>
      <c r="L296">
        <v>37</v>
      </c>
      <c r="M296" t="s">
        <v>226</v>
      </c>
      <c r="N296" s="6" t="s">
        <v>2326</v>
      </c>
      <c r="R296">
        <v>14</v>
      </c>
      <c r="S296">
        <v>37</v>
      </c>
      <c r="T296" t="s">
        <v>1841</v>
      </c>
      <c r="U296" t="s">
        <v>2009</v>
      </c>
      <c r="V296" t="s">
        <v>2024</v>
      </c>
      <c r="W296" t="s">
        <v>2015</v>
      </c>
      <c r="X296" t="s">
        <v>3039</v>
      </c>
    </row>
    <row r="297" spans="1:24" x14ac:dyDescent="0.3">
      <c r="A297" t="s">
        <v>1010</v>
      </c>
      <c r="B297" t="s">
        <v>418</v>
      </c>
      <c r="D297">
        <v>23.149000000000001</v>
      </c>
      <c r="E297">
        <v>6826</v>
      </c>
      <c r="F297">
        <v>41.3</v>
      </c>
      <c r="G297" s="11"/>
      <c r="H297" t="s">
        <v>1746</v>
      </c>
      <c r="I297">
        <v>5187</v>
      </c>
      <c r="J297">
        <v>2404229</v>
      </c>
      <c r="K297">
        <v>9</v>
      </c>
      <c r="L297">
        <v>34</v>
      </c>
      <c r="M297" t="s">
        <v>226</v>
      </c>
      <c r="N297" s="6" t="s">
        <v>2327</v>
      </c>
      <c r="O297">
        <v>2</v>
      </c>
      <c r="P297">
        <v>38</v>
      </c>
      <c r="Q297">
        <v>11</v>
      </c>
      <c r="R297">
        <v>2</v>
      </c>
      <c r="S297">
        <v>38</v>
      </c>
      <c r="T297" t="s">
        <v>1821</v>
      </c>
      <c r="U297" t="s">
        <v>2009</v>
      </c>
      <c r="V297" t="s">
        <v>2024</v>
      </c>
      <c r="W297" t="s">
        <v>2016</v>
      </c>
      <c r="X297" t="s">
        <v>3045</v>
      </c>
    </row>
    <row r="298" spans="1:24" x14ac:dyDescent="0.3">
      <c r="A298" t="s">
        <v>1013</v>
      </c>
      <c r="B298" t="s">
        <v>254</v>
      </c>
      <c r="D298">
        <v>20.0335</v>
      </c>
      <c r="E298">
        <v>7857</v>
      </c>
      <c r="F298">
        <v>59.7</v>
      </c>
      <c r="G298" s="8" t="s">
        <v>2101</v>
      </c>
      <c r="H298" t="s">
        <v>383</v>
      </c>
      <c r="I298" t="s">
        <v>383</v>
      </c>
      <c r="J298" t="s">
        <v>383</v>
      </c>
      <c r="K298">
        <v>-3</v>
      </c>
      <c r="L298">
        <v>15</v>
      </c>
      <c r="M298" t="s">
        <v>227</v>
      </c>
      <c r="N298" s="6" t="s">
        <v>2287</v>
      </c>
      <c r="Q298" t="s">
        <v>818</v>
      </c>
      <c r="R298">
        <v>-3</v>
      </c>
      <c r="S298">
        <v>15</v>
      </c>
      <c r="T298" t="s">
        <v>1842</v>
      </c>
      <c r="U298" t="s">
        <v>2009</v>
      </c>
      <c r="V298" t="s">
        <v>2024</v>
      </c>
      <c r="W298" t="s">
        <v>2015</v>
      </c>
      <c r="X298" t="s">
        <v>3047</v>
      </c>
    </row>
    <row r="299" spans="1:24" x14ac:dyDescent="0.3">
      <c r="A299" t="s">
        <v>1014</v>
      </c>
      <c r="B299" t="s">
        <v>253</v>
      </c>
      <c r="D299">
        <v>21.097300000000001</v>
      </c>
      <c r="E299">
        <v>6758</v>
      </c>
      <c r="F299">
        <v>60.5</v>
      </c>
      <c r="G299" s="11"/>
      <c r="H299" t="s">
        <v>383</v>
      </c>
      <c r="I299" t="s">
        <v>383</v>
      </c>
      <c r="J299" t="s">
        <v>383</v>
      </c>
      <c r="K299">
        <v>-3</v>
      </c>
      <c r="L299">
        <v>20</v>
      </c>
      <c r="M299" t="s">
        <v>227</v>
      </c>
      <c r="N299" s="6" t="s">
        <v>2104</v>
      </c>
      <c r="R299">
        <v>-3</v>
      </c>
      <c r="S299">
        <v>20</v>
      </c>
      <c r="T299" t="s">
        <v>1842</v>
      </c>
      <c r="U299" t="s">
        <v>2009</v>
      </c>
      <c r="V299" t="s">
        <v>2024</v>
      </c>
      <c r="W299" t="s">
        <v>2015</v>
      </c>
      <c r="X299" t="s">
        <v>3047</v>
      </c>
    </row>
    <row r="300" spans="1:24" x14ac:dyDescent="0.3">
      <c r="A300" t="s">
        <v>1532</v>
      </c>
      <c r="B300" t="s">
        <v>3798</v>
      </c>
      <c r="D300">
        <v>45.8</v>
      </c>
      <c r="F300">
        <v>54.5</v>
      </c>
      <c r="G300" s="11"/>
      <c r="H300" t="s">
        <v>383</v>
      </c>
      <c r="I300" t="s">
        <v>383</v>
      </c>
      <c r="J300" t="s">
        <v>383</v>
      </c>
      <c r="M300" t="s">
        <v>1691</v>
      </c>
      <c r="N300" s="6" t="s">
        <v>2168</v>
      </c>
      <c r="O300">
        <v>3</v>
      </c>
      <c r="P300">
        <v>37.5</v>
      </c>
      <c r="Q300">
        <v>33</v>
      </c>
      <c r="R300">
        <v>3</v>
      </c>
      <c r="S300">
        <v>37.5</v>
      </c>
      <c r="T300" t="s">
        <v>1843</v>
      </c>
      <c r="U300" t="s">
        <v>2010</v>
      </c>
      <c r="V300" t="s">
        <v>2025</v>
      </c>
      <c r="W300" t="s">
        <v>2020</v>
      </c>
    </row>
    <row r="301" spans="1:24" ht="16.2" customHeight="1" x14ac:dyDescent="0.3">
      <c r="A301" t="s">
        <v>1534</v>
      </c>
      <c r="B301" t="s">
        <v>3799</v>
      </c>
      <c r="D301">
        <v>53.4</v>
      </c>
      <c r="E301">
        <v>17350</v>
      </c>
      <c r="F301">
        <v>53</v>
      </c>
      <c r="G301" s="11"/>
      <c r="H301" t="s">
        <v>340</v>
      </c>
      <c r="I301">
        <v>17350</v>
      </c>
      <c r="J301">
        <v>10750630</v>
      </c>
      <c r="M301" t="s">
        <v>1691</v>
      </c>
      <c r="N301" s="6" t="s">
        <v>2168</v>
      </c>
      <c r="O301">
        <v>10</v>
      </c>
      <c r="P301">
        <v>37.5</v>
      </c>
      <c r="Q301">
        <v>3</v>
      </c>
      <c r="R301">
        <v>10</v>
      </c>
      <c r="S301">
        <v>37.5</v>
      </c>
      <c r="T301" t="s">
        <v>1843</v>
      </c>
      <c r="U301" t="s">
        <v>2010</v>
      </c>
      <c r="V301" t="s">
        <v>2025</v>
      </c>
      <c r="W301" t="s">
        <v>2020</v>
      </c>
    </row>
    <row r="302" spans="1:24" x14ac:dyDescent="0.3">
      <c r="A302" t="s">
        <v>1536</v>
      </c>
      <c r="B302" t="s">
        <v>3800</v>
      </c>
      <c r="C302" t="s">
        <v>1708</v>
      </c>
      <c r="D302">
        <v>44.9</v>
      </c>
      <c r="E302">
        <v>15323</v>
      </c>
      <c r="F302">
        <v>52.5</v>
      </c>
      <c r="G302" s="8" t="s">
        <v>2102</v>
      </c>
      <c r="H302" t="s">
        <v>383</v>
      </c>
      <c r="I302" t="s">
        <v>383</v>
      </c>
      <c r="J302" t="s">
        <v>383</v>
      </c>
      <c r="M302" t="s">
        <v>1691</v>
      </c>
      <c r="N302" s="6" t="s">
        <v>2168</v>
      </c>
      <c r="O302">
        <v>2</v>
      </c>
      <c r="P302">
        <v>41.8</v>
      </c>
      <c r="Q302">
        <v>24</v>
      </c>
      <c r="R302">
        <v>2</v>
      </c>
      <c r="S302">
        <v>41.8</v>
      </c>
      <c r="T302" t="s">
        <v>1843</v>
      </c>
      <c r="U302" t="s">
        <v>2010</v>
      </c>
      <c r="V302" t="s">
        <v>2025</v>
      </c>
      <c r="W302" t="s">
        <v>2020</v>
      </c>
    </row>
    <row r="303" spans="1:24" x14ac:dyDescent="0.3">
      <c r="A303" t="s">
        <v>1015</v>
      </c>
      <c r="B303" t="s">
        <v>123</v>
      </c>
      <c r="D303">
        <v>37.178199999999997</v>
      </c>
      <c r="E303">
        <v>11846</v>
      </c>
      <c r="F303">
        <v>52.9</v>
      </c>
      <c r="G303" s="11"/>
      <c r="H303" t="s">
        <v>1746</v>
      </c>
      <c r="I303">
        <v>11735</v>
      </c>
      <c r="J303">
        <v>4956750</v>
      </c>
      <c r="K303">
        <v>10</v>
      </c>
      <c r="L303">
        <v>48</v>
      </c>
      <c r="M303" t="s">
        <v>227</v>
      </c>
      <c r="N303" s="6" t="s">
        <v>2177</v>
      </c>
      <c r="O303">
        <v>5</v>
      </c>
      <c r="P303">
        <v>46</v>
      </c>
      <c r="Q303">
        <v>7</v>
      </c>
      <c r="R303">
        <v>5</v>
      </c>
      <c r="S303">
        <v>48</v>
      </c>
      <c r="T303" t="s">
        <v>1844</v>
      </c>
      <c r="U303" t="s">
        <v>2009</v>
      </c>
      <c r="V303" t="s">
        <v>2024</v>
      </c>
      <c r="W303" t="s">
        <v>2015</v>
      </c>
      <c r="X303" t="s">
        <v>3039</v>
      </c>
    </row>
    <row r="304" spans="1:24" x14ac:dyDescent="0.3">
      <c r="A304" t="s">
        <v>947</v>
      </c>
      <c r="B304" t="s">
        <v>31</v>
      </c>
      <c r="D304">
        <v>90.085999999999999</v>
      </c>
      <c r="E304">
        <v>13348</v>
      </c>
      <c r="F304">
        <v>36.799999999999997</v>
      </c>
      <c r="G304" s="11"/>
      <c r="H304" t="s">
        <v>1746</v>
      </c>
      <c r="I304">
        <v>13227</v>
      </c>
      <c r="J304">
        <v>6122497</v>
      </c>
      <c r="K304">
        <v>9</v>
      </c>
      <c r="L304">
        <v>30</v>
      </c>
      <c r="M304" t="s">
        <v>226</v>
      </c>
      <c r="N304" s="6" t="s">
        <v>2177</v>
      </c>
      <c r="O304">
        <v>4</v>
      </c>
      <c r="P304">
        <v>34.5</v>
      </c>
      <c r="Q304">
        <v>28</v>
      </c>
      <c r="R304">
        <v>4</v>
      </c>
      <c r="S304">
        <v>34.5</v>
      </c>
      <c r="T304" t="s">
        <v>1845</v>
      </c>
      <c r="U304" t="s">
        <v>2009</v>
      </c>
      <c r="V304" t="s">
        <v>2024</v>
      </c>
      <c r="W304" t="s">
        <v>2016</v>
      </c>
      <c r="X304" t="s">
        <v>2039</v>
      </c>
    </row>
    <row r="305" spans="1:24" x14ac:dyDescent="0.3">
      <c r="A305" t="s">
        <v>1283</v>
      </c>
      <c r="B305" t="s">
        <v>790</v>
      </c>
      <c r="D305">
        <v>38.700000000000003</v>
      </c>
      <c r="E305">
        <v>15251</v>
      </c>
      <c r="F305">
        <v>49.5</v>
      </c>
      <c r="G305" s="8" t="s">
        <v>2103</v>
      </c>
      <c r="H305" t="s">
        <v>383</v>
      </c>
      <c r="I305" t="s">
        <v>383</v>
      </c>
      <c r="J305" t="s">
        <v>383</v>
      </c>
      <c r="K305">
        <v>10</v>
      </c>
      <c r="L305">
        <v>30</v>
      </c>
      <c r="M305" t="s">
        <v>227</v>
      </c>
      <c r="N305" s="6" t="s">
        <v>2183</v>
      </c>
      <c r="R305">
        <v>10</v>
      </c>
      <c r="S305">
        <v>30</v>
      </c>
      <c r="T305" t="s">
        <v>1846</v>
      </c>
      <c r="U305" t="s">
        <v>2009</v>
      </c>
      <c r="V305" t="s">
        <v>2024</v>
      </c>
      <c r="W305" t="s">
        <v>2015</v>
      </c>
      <c r="X305" t="s">
        <v>3039</v>
      </c>
    </row>
    <row r="306" spans="1:24" x14ac:dyDescent="0.3">
      <c r="A306" t="s">
        <v>1016</v>
      </c>
      <c r="B306" t="s">
        <v>333</v>
      </c>
      <c r="D306">
        <v>20.7</v>
      </c>
      <c r="E306">
        <v>2221</v>
      </c>
      <c r="F306">
        <v>50.9</v>
      </c>
      <c r="G306" s="8" t="s">
        <v>2104</v>
      </c>
      <c r="H306" t="s">
        <v>383</v>
      </c>
      <c r="I306" t="s">
        <v>383</v>
      </c>
      <c r="J306" t="s">
        <v>383</v>
      </c>
      <c r="K306">
        <v>0</v>
      </c>
      <c r="L306">
        <v>28</v>
      </c>
      <c r="M306" t="s">
        <v>228</v>
      </c>
      <c r="N306" s="6" t="s">
        <v>2104</v>
      </c>
      <c r="O306" s="14"/>
      <c r="P306" s="14"/>
      <c r="R306">
        <v>0</v>
      </c>
      <c r="S306">
        <v>28</v>
      </c>
      <c r="T306" t="s">
        <v>1847</v>
      </c>
      <c r="U306" t="s">
        <v>2009</v>
      </c>
      <c r="V306" t="s">
        <v>2024</v>
      </c>
      <c r="W306" t="s">
        <v>2015</v>
      </c>
      <c r="X306" t="s">
        <v>3043</v>
      </c>
    </row>
    <row r="307" spans="1:24" x14ac:dyDescent="0.3">
      <c r="A307" t="s">
        <v>1017</v>
      </c>
      <c r="B307" t="s">
        <v>286</v>
      </c>
      <c r="D307">
        <v>39.289000000000001</v>
      </c>
      <c r="E307">
        <v>15039</v>
      </c>
      <c r="F307">
        <v>49.5</v>
      </c>
      <c r="G307" s="11"/>
      <c r="H307" t="s">
        <v>1746</v>
      </c>
      <c r="I307">
        <v>14985</v>
      </c>
      <c r="J307">
        <v>5484969</v>
      </c>
      <c r="K307">
        <v>8</v>
      </c>
      <c r="L307">
        <v>32</v>
      </c>
      <c r="M307" t="s">
        <v>226</v>
      </c>
      <c r="N307" s="6" t="s">
        <v>2328</v>
      </c>
      <c r="R307">
        <v>8</v>
      </c>
      <c r="S307">
        <v>32</v>
      </c>
      <c r="T307" t="s">
        <v>640</v>
      </c>
      <c r="U307" t="s">
        <v>2009</v>
      </c>
      <c r="V307" t="s">
        <v>2024</v>
      </c>
      <c r="W307" t="s">
        <v>2015</v>
      </c>
      <c r="X307" t="s">
        <v>3039</v>
      </c>
    </row>
    <row r="308" spans="1:24" x14ac:dyDescent="0.3">
      <c r="A308" t="s">
        <v>1018</v>
      </c>
      <c r="B308" t="s">
        <v>6</v>
      </c>
      <c r="D308">
        <v>29.794</v>
      </c>
      <c r="E308">
        <v>8312</v>
      </c>
      <c r="F308">
        <v>53.3</v>
      </c>
      <c r="G308" s="11"/>
      <c r="H308" t="s">
        <v>1746</v>
      </c>
      <c r="I308">
        <v>8311</v>
      </c>
      <c r="J308">
        <v>4531634</v>
      </c>
      <c r="K308">
        <v>7</v>
      </c>
      <c r="L308">
        <v>34</v>
      </c>
      <c r="M308" t="s">
        <v>228</v>
      </c>
      <c r="N308" s="6" t="s">
        <v>2243</v>
      </c>
      <c r="R308">
        <v>7</v>
      </c>
      <c r="S308">
        <v>34</v>
      </c>
      <c r="T308" t="s">
        <v>1848</v>
      </c>
      <c r="U308" t="s">
        <v>2009</v>
      </c>
      <c r="V308" t="s">
        <v>2024</v>
      </c>
      <c r="W308" t="s">
        <v>2016</v>
      </c>
      <c r="X308" t="s">
        <v>2039</v>
      </c>
    </row>
    <row r="309" spans="1:24" x14ac:dyDescent="0.3">
      <c r="A309" t="s">
        <v>1349</v>
      </c>
      <c r="B309" t="s">
        <v>741</v>
      </c>
      <c r="D309">
        <v>59.5</v>
      </c>
      <c r="E309">
        <v>16647</v>
      </c>
      <c r="F309">
        <v>46.5</v>
      </c>
      <c r="G309" s="11"/>
      <c r="H309" t="s">
        <v>1746</v>
      </c>
      <c r="I309">
        <v>16326</v>
      </c>
      <c r="J309">
        <v>6248472</v>
      </c>
      <c r="K309">
        <v>10</v>
      </c>
      <c r="L309">
        <v>30</v>
      </c>
      <c r="M309" t="s">
        <v>227</v>
      </c>
      <c r="N309" s="6" t="s">
        <v>2183</v>
      </c>
      <c r="R309">
        <v>10</v>
      </c>
      <c r="S309">
        <v>30</v>
      </c>
      <c r="T309" t="s">
        <v>641</v>
      </c>
      <c r="U309" t="s">
        <v>2009</v>
      </c>
      <c r="V309" t="s">
        <v>2024</v>
      </c>
      <c r="W309" t="s">
        <v>2015</v>
      </c>
      <c r="X309" t="s">
        <v>3039</v>
      </c>
    </row>
    <row r="310" spans="1:24" x14ac:dyDescent="0.3">
      <c r="A310" t="s">
        <v>1019</v>
      </c>
      <c r="B310" t="s">
        <v>516</v>
      </c>
      <c r="D310">
        <v>8.8079999999999998</v>
      </c>
      <c r="E310">
        <v>4061</v>
      </c>
      <c r="F310">
        <v>32</v>
      </c>
      <c r="G310" s="11"/>
      <c r="H310" t="s">
        <v>1746</v>
      </c>
      <c r="I310">
        <v>4059</v>
      </c>
      <c r="J310">
        <v>2125948</v>
      </c>
      <c r="K310">
        <v>8</v>
      </c>
      <c r="L310">
        <v>40</v>
      </c>
      <c r="M310" t="s">
        <v>227</v>
      </c>
      <c r="N310" s="6" t="s">
        <v>2329</v>
      </c>
      <c r="O310" s="14"/>
      <c r="P310" s="14"/>
      <c r="R310">
        <v>8</v>
      </c>
      <c r="S310">
        <v>40</v>
      </c>
      <c r="T310" t="s">
        <v>1849</v>
      </c>
      <c r="U310" t="s">
        <v>2009</v>
      </c>
      <c r="V310" t="s">
        <v>2024</v>
      </c>
      <c r="W310" t="s">
        <v>2016</v>
      </c>
      <c r="X310" t="s">
        <v>3045</v>
      </c>
    </row>
    <row r="311" spans="1:24" x14ac:dyDescent="0.3">
      <c r="A311" t="s">
        <v>1195</v>
      </c>
      <c r="B311" t="s">
        <v>135</v>
      </c>
      <c r="D311">
        <v>11.733000000000001</v>
      </c>
      <c r="E311">
        <v>4878</v>
      </c>
      <c r="F311">
        <v>43.85</v>
      </c>
      <c r="G311" s="11"/>
      <c r="H311" t="s">
        <v>1746</v>
      </c>
      <c r="I311">
        <v>4852</v>
      </c>
      <c r="J311">
        <v>2271437</v>
      </c>
      <c r="K311">
        <v>20</v>
      </c>
      <c r="L311">
        <v>40</v>
      </c>
      <c r="M311" t="s">
        <v>236</v>
      </c>
      <c r="N311" s="6" t="s">
        <v>2330</v>
      </c>
      <c r="R311">
        <v>20</v>
      </c>
      <c r="S311">
        <v>40</v>
      </c>
      <c r="T311" t="s">
        <v>1850</v>
      </c>
      <c r="U311" t="s">
        <v>2009</v>
      </c>
      <c r="V311" t="s">
        <v>2024</v>
      </c>
      <c r="W311" t="s">
        <v>2016</v>
      </c>
      <c r="X311" t="s">
        <v>3048</v>
      </c>
    </row>
    <row r="312" spans="1:24" x14ac:dyDescent="0.3">
      <c r="A312" t="s">
        <v>1538</v>
      </c>
      <c r="B312" t="s">
        <v>3801</v>
      </c>
      <c r="D312">
        <v>35.6</v>
      </c>
      <c r="E312">
        <v>13336</v>
      </c>
      <c r="F312">
        <v>48.5</v>
      </c>
      <c r="G312" s="8" t="s">
        <v>2105</v>
      </c>
      <c r="H312" t="s">
        <v>383</v>
      </c>
      <c r="I312" t="s">
        <v>383</v>
      </c>
      <c r="J312" t="s">
        <v>383</v>
      </c>
      <c r="M312" t="s">
        <v>1691</v>
      </c>
      <c r="N312" s="6" t="s">
        <v>2168</v>
      </c>
      <c r="O312">
        <v>3</v>
      </c>
      <c r="P312">
        <v>30</v>
      </c>
      <c r="Q312">
        <v>7</v>
      </c>
      <c r="R312">
        <v>3</v>
      </c>
      <c r="S312">
        <v>30</v>
      </c>
      <c r="T312" t="s">
        <v>1851</v>
      </c>
      <c r="U312" t="s">
        <v>2009</v>
      </c>
      <c r="V312" t="s">
        <v>2024</v>
      </c>
      <c r="W312" t="s">
        <v>2016</v>
      </c>
      <c r="X312" t="s">
        <v>2039</v>
      </c>
    </row>
    <row r="313" spans="1:24" x14ac:dyDescent="0.3">
      <c r="A313" t="s">
        <v>1021</v>
      </c>
      <c r="B313" t="s">
        <v>246</v>
      </c>
      <c r="D313">
        <v>547</v>
      </c>
      <c r="E313">
        <v>13364</v>
      </c>
      <c r="F313">
        <v>33.6</v>
      </c>
      <c r="G313" s="8" t="s">
        <v>2106</v>
      </c>
      <c r="H313" t="s">
        <v>383</v>
      </c>
      <c r="I313" t="s">
        <v>383</v>
      </c>
      <c r="J313" t="s">
        <v>383</v>
      </c>
      <c r="K313">
        <v>15.5</v>
      </c>
      <c r="L313">
        <v>28</v>
      </c>
      <c r="M313" t="s">
        <v>228</v>
      </c>
      <c r="N313" s="6" t="s">
        <v>2331</v>
      </c>
      <c r="R313">
        <v>15.5</v>
      </c>
      <c r="S313">
        <v>28</v>
      </c>
      <c r="T313" t="s">
        <v>1852</v>
      </c>
      <c r="U313" t="s">
        <v>2009</v>
      </c>
      <c r="V313" t="s">
        <v>2024</v>
      </c>
      <c r="W313" t="s">
        <v>2015</v>
      </c>
      <c r="X313" t="s">
        <v>3046</v>
      </c>
    </row>
    <row r="314" spans="1:24" x14ac:dyDescent="0.3">
      <c r="A314" t="s">
        <v>1284</v>
      </c>
      <c r="B314" t="s">
        <v>791</v>
      </c>
      <c r="D314">
        <v>35.332000000000001</v>
      </c>
      <c r="E314">
        <v>12639</v>
      </c>
      <c r="F314">
        <v>54</v>
      </c>
      <c r="G314" s="11"/>
      <c r="H314" t="s">
        <v>3707</v>
      </c>
      <c r="I314">
        <v>12369</v>
      </c>
      <c r="J314">
        <v>5457217</v>
      </c>
      <c r="K314">
        <v>5</v>
      </c>
      <c r="L314">
        <v>37</v>
      </c>
      <c r="M314" t="s">
        <v>228</v>
      </c>
      <c r="N314" s="6" t="s">
        <v>2332</v>
      </c>
      <c r="R314">
        <v>5</v>
      </c>
      <c r="S314">
        <v>37</v>
      </c>
      <c r="T314" t="s">
        <v>642</v>
      </c>
      <c r="U314" t="s">
        <v>2009</v>
      </c>
      <c r="V314" t="s">
        <v>2024</v>
      </c>
      <c r="W314" t="s">
        <v>2015</v>
      </c>
      <c r="X314" t="s">
        <v>3039</v>
      </c>
    </row>
    <row r="315" spans="1:24" x14ac:dyDescent="0.3">
      <c r="A315" t="s">
        <v>1287</v>
      </c>
      <c r="B315" t="s">
        <v>794</v>
      </c>
      <c r="D315">
        <v>41.2</v>
      </c>
      <c r="E315">
        <v>10620</v>
      </c>
      <c r="F315">
        <v>52.5</v>
      </c>
      <c r="G315" s="8" t="s">
        <v>2107</v>
      </c>
      <c r="H315" t="s">
        <v>383</v>
      </c>
      <c r="I315" t="s">
        <v>383</v>
      </c>
      <c r="J315" t="s">
        <v>383</v>
      </c>
      <c r="K315">
        <v>3</v>
      </c>
      <c r="L315">
        <v>36</v>
      </c>
      <c r="M315" t="s">
        <v>228</v>
      </c>
      <c r="N315" s="6" t="s">
        <v>2332</v>
      </c>
      <c r="R315">
        <v>3</v>
      </c>
      <c r="S315">
        <v>36</v>
      </c>
      <c r="T315" t="s">
        <v>642</v>
      </c>
      <c r="U315" t="s">
        <v>2009</v>
      </c>
      <c r="V315" t="s">
        <v>2024</v>
      </c>
      <c r="W315" t="s">
        <v>2015</v>
      </c>
      <c r="X315" t="s">
        <v>3039</v>
      </c>
    </row>
    <row r="316" spans="1:24" x14ac:dyDescent="0.3">
      <c r="A316" t="s">
        <v>1350</v>
      </c>
      <c r="B316" t="s">
        <v>742</v>
      </c>
      <c r="D316">
        <v>37.5</v>
      </c>
      <c r="E316">
        <v>11007</v>
      </c>
      <c r="F316">
        <v>52.5</v>
      </c>
      <c r="G316" s="11"/>
      <c r="H316" t="s">
        <v>1746</v>
      </c>
      <c r="I316">
        <v>11000</v>
      </c>
      <c r="J316">
        <v>4291909</v>
      </c>
      <c r="K316">
        <v>5</v>
      </c>
      <c r="L316">
        <v>34</v>
      </c>
      <c r="M316" t="s">
        <v>228</v>
      </c>
      <c r="N316" s="6" t="s">
        <v>2332</v>
      </c>
      <c r="R316">
        <v>5</v>
      </c>
      <c r="S316">
        <v>34</v>
      </c>
      <c r="T316" t="s">
        <v>642</v>
      </c>
      <c r="U316" t="s">
        <v>2009</v>
      </c>
      <c r="V316" t="s">
        <v>2024</v>
      </c>
      <c r="W316" t="s">
        <v>2015</v>
      </c>
      <c r="X316" t="s">
        <v>3039</v>
      </c>
    </row>
    <row r="317" spans="1:24" x14ac:dyDescent="0.3">
      <c r="A317" t="s">
        <v>1022</v>
      </c>
      <c r="B317" t="s">
        <v>104</v>
      </c>
      <c r="C317" t="s">
        <v>20</v>
      </c>
      <c r="D317">
        <v>33.649000000000001</v>
      </c>
      <c r="E317">
        <v>13383</v>
      </c>
      <c r="F317">
        <v>52.55</v>
      </c>
      <c r="G317" s="11"/>
      <c r="H317" t="s">
        <v>1746</v>
      </c>
      <c r="I317">
        <v>13148</v>
      </c>
      <c r="J317">
        <v>5004036</v>
      </c>
      <c r="K317">
        <v>5</v>
      </c>
      <c r="L317">
        <v>35</v>
      </c>
      <c r="M317" t="s">
        <v>226</v>
      </c>
      <c r="N317" s="6" t="s">
        <v>2333</v>
      </c>
      <c r="O317">
        <v>8</v>
      </c>
      <c r="P317">
        <v>44</v>
      </c>
      <c r="Q317">
        <v>9</v>
      </c>
      <c r="R317">
        <v>5</v>
      </c>
      <c r="S317">
        <v>44</v>
      </c>
      <c r="T317" t="s">
        <v>1853</v>
      </c>
      <c r="U317" t="s">
        <v>2009</v>
      </c>
      <c r="V317" t="s">
        <v>2024</v>
      </c>
      <c r="W317" t="s">
        <v>2015</v>
      </c>
      <c r="X317" t="s">
        <v>3039</v>
      </c>
    </row>
    <row r="318" spans="1:24" x14ac:dyDescent="0.3">
      <c r="A318" t="s">
        <v>1023</v>
      </c>
      <c r="B318" t="s">
        <v>115</v>
      </c>
      <c r="D318">
        <v>51.057000000000002</v>
      </c>
      <c r="E318">
        <v>10463</v>
      </c>
      <c r="F318">
        <v>52</v>
      </c>
      <c r="G318" s="11"/>
      <c r="H318" t="s">
        <v>1746</v>
      </c>
      <c r="I318">
        <v>9072</v>
      </c>
      <c r="J318">
        <v>4418322</v>
      </c>
      <c r="K318">
        <v>5</v>
      </c>
      <c r="L318">
        <v>20</v>
      </c>
      <c r="M318" t="s">
        <v>228</v>
      </c>
      <c r="N318" s="6" t="s">
        <v>2334</v>
      </c>
      <c r="R318">
        <v>5</v>
      </c>
      <c r="S318">
        <v>20</v>
      </c>
      <c r="T318" t="s">
        <v>1854</v>
      </c>
      <c r="U318" t="s">
        <v>2009</v>
      </c>
      <c r="V318" t="s">
        <v>2024</v>
      </c>
      <c r="W318" t="s">
        <v>2016</v>
      </c>
      <c r="X318" t="s">
        <v>2039</v>
      </c>
    </row>
    <row r="319" spans="1:24" x14ac:dyDescent="0.3">
      <c r="A319" t="s">
        <v>1024</v>
      </c>
      <c r="B319" t="s">
        <v>101</v>
      </c>
      <c r="D319">
        <v>66.265100000000004</v>
      </c>
      <c r="E319">
        <v>12058</v>
      </c>
      <c r="F319">
        <v>46.893000000000001</v>
      </c>
      <c r="G319" s="11"/>
      <c r="H319" t="s">
        <v>1746</v>
      </c>
      <c r="I319">
        <v>11905</v>
      </c>
      <c r="J319">
        <v>5689249</v>
      </c>
      <c r="K319">
        <v>9</v>
      </c>
      <c r="L319">
        <v>36</v>
      </c>
      <c r="M319" t="s">
        <v>226</v>
      </c>
      <c r="N319" s="6" t="s">
        <v>2335</v>
      </c>
      <c r="R319">
        <v>9</v>
      </c>
      <c r="S319">
        <v>36</v>
      </c>
      <c r="T319" t="s">
        <v>1854</v>
      </c>
      <c r="U319" t="s">
        <v>2009</v>
      </c>
      <c r="V319" t="s">
        <v>2024</v>
      </c>
      <c r="W319" t="s">
        <v>2016</v>
      </c>
      <c r="X319" t="s">
        <v>2039</v>
      </c>
    </row>
    <row r="320" spans="1:24" x14ac:dyDescent="0.3">
      <c r="A320" t="s">
        <v>1025</v>
      </c>
      <c r="B320" t="s">
        <v>362</v>
      </c>
      <c r="D320">
        <v>34.866</v>
      </c>
      <c r="E320">
        <f>AVERAGE(10714,9756,10259,9130)</f>
        <v>9964.75</v>
      </c>
      <c r="F320">
        <v>52.65</v>
      </c>
      <c r="G320" s="8" t="s">
        <v>2108</v>
      </c>
      <c r="H320" t="s">
        <v>383</v>
      </c>
      <c r="I320" t="s">
        <v>383</v>
      </c>
      <c r="J320" t="s">
        <v>383</v>
      </c>
      <c r="K320">
        <v>10</v>
      </c>
      <c r="L320">
        <v>38</v>
      </c>
      <c r="M320" t="s">
        <v>226</v>
      </c>
      <c r="N320" s="6" t="s">
        <v>2336</v>
      </c>
      <c r="R320">
        <v>10</v>
      </c>
      <c r="S320">
        <v>38</v>
      </c>
      <c r="T320" t="s">
        <v>1854</v>
      </c>
      <c r="U320" t="s">
        <v>2009</v>
      </c>
      <c r="V320" t="s">
        <v>2024</v>
      </c>
      <c r="W320" t="s">
        <v>2016</v>
      </c>
      <c r="X320" t="s">
        <v>2039</v>
      </c>
    </row>
    <row r="321" spans="1:24" x14ac:dyDescent="0.3">
      <c r="A321" t="s">
        <v>1026</v>
      </c>
      <c r="B321" t="s">
        <v>80</v>
      </c>
      <c r="D321">
        <v>32.988</v>
      </c>
      <c r="E321">
        <v>9251</v>
      </c>
      <c r="F321">
        <v>43.7</v>
      </c>
      <c r="G321" s="11"/>
      <c r="H321" t="s">
        <v>340</v>
      </c>
      <c r="I321">
        <v>9254</v>
      </c>
      <c r="J321">
        <v>4183055</v>
      </c>
      <c r="K321">
        <v>12</v>
      </c>
      <c r="L321">
        <v>33</v>
      </c>
      <c r="M321" t="s">
        <v>226</v>
      </c>
      <c r="N321" s="6" t="s">
        <v>2337</v>
      </c>
      <c r="R321">
        <v>12</v>
      </c>
      <c r="S321">
        <v>33</v>
      </c>
      <c r="T321" t="s">
        <v>1855</v>
      </c>
      <c r="U321" t="s">
        <v>2009</v>
      </c>
      <c r="V321" t="s">
        <v>2024</v>
      </c>
      <c r="W321" t="s">
        <v>2016</v>
      </c>
      <c r="X321" t="s">
        <v>2039</v>
      </c>
    </row>
    <row r="322" spans="1:24" x14ac:dyDescent="0.3">
      <c r="A322" t="s">
        <v>1027</v>
      </c>
      <c r="B322" t="s">
        <v>103</v>
      </c>
      <c r="D322">
        <v>49.942</v>
      </c>
      <c r="E322">
        <v>15748</v>
      </c>
      <c r="F322">
        <v>53.4</v>
      </c>
      <c r="G322" s="11"/>
      <c r="H322" t="s">
        <v>1746</v>
      </c>
      <c r="I322">
        <v>16466</v>
      </c>
      <c r="J322">
        <v>8038627</v>
      </c>
      <c r="K322">
        <v>5</v>
      </c>
      <c r="L322">
        <v>35</v>
      </c>
      <c r="M322" t="s">
        <v>226</v>
      </c>
      <c r="N322" s="6" t="s">
        <v>2268</v>
      </c>
      <c r="R322">
        <v>5</v>
      </c>
      <c r="S322">
        <v>35</v>
      </c>
      <c r="T322" t="s">
        <v>1856</v>
      </c>
      <c r="U322" t="s">
        <v>2009</v>
      </c>
      <c r="V322" t="s">
        <v>2024</v>
      </c>
      <c r="W322" t="s">
        <v>2016</v>
      </c>
      <c r="X322" t="s">
        <v>2039</v>
      </c>
    </row>
    <row r="323" spans="1:24" x14ac:dyDescent="0.3">
      <c r="A323" t="s">
        <v>1028</v>
      </c>
      <c r="B323" t="s">
        <v>292</v>
      </c>
      <c r="D323">
        <v>27.585999999999999</v>
      </c>
      <c r="E323">
        <v>9529</v>
      </c>
      <c r="F323">
        <v>56.5</v>
      </c>
      <c r="G323" s="11"/>
      <c r="H323" t="s">
        <v>3707</v>
      </c>
      <c r="I323">
        <v>9529</v>
      </c>
      <c r="J323">
        <v>4099134</v>
      </c>
      <c r="K323">
        <v>17</v>
      </c>
      <c r="L323">
        <v>52</v>
      </c>
      <c r="M323" t="s">
        <v>226</v>
      </c>
      <c r="N323" s="6" t="s">
        <v>2338</v>
      </c>
      <c r="R323">
        <v>17</v>
      </c>
      <c r="S323">
        <v>52</v>
      </c>
      <c r="T323" t="s">
        <v>1857</v>
      </c>
      <c r="U323" t="s">
        <v>2009</v>
      </c>
      <c r="V323" t="s">
        <v>2024</v>
      </c>
      <c r="W323" t="s">
        <v>2016</v>
      </c>
      <c r="X323" t="s">
        <v>2039</v>
      </c>
    </row>
    <row r="324" spans="1:24" x14ac:dyDescent="0.3">
      <c r="A324" t="s">
        <v>1292</v>
      </c>
      <c r="B324" t="s">
        <v>317</v>
      </c>
      <c r="D324">
        <v>27.7</v>
      </c>
      <c r="E324">
        <v>9511</v>
      </c>
      <c r="F324">
        <v>48.5</v>
      </c>
      <c r="G324" s="8" t="s">
        <v>2058</v>
      </c>
      <c r="H324" t="s">
        <v>383</v>
      </c>
      <c r="I324" t="s">
        <v>383</v>
      </c>
      <c r="J324" t="s">
        <v>383</v>
      </c>
      <c r="K324">
        <v>7</v>
      </c>
      <c r="L324">
        <v>31</v>
      </c>
      <c r="M324" t="s">
        <v>226</v>
      </c>
      <c r="N324" s="6" t="s">
        <v>2339</v>
      </c>
      <c r="R324">
        <v>7</v>
      </c>
      <c r="S324">
        <v>31</v>
      </c>
      <c r="T324" t="s">
        <v>1858</v>
      </c>
      <c r="U324" t="s">
        <v>2009</v>
      </c>
      <c r="V324" t="s">
        <v>2024</v>
      </c>
      <c r="W324" t="s">
        <v>2015</v>
      </c>
      <c r="X324" t="s">
        <v>3039</v>
      </c>
    </row>
    <row r="325" spans="1:24" x14ac:dyDescent="0.3">
      <c r="A325" t="s">
        <v>1100</v>
      </c>
      <c r="B325" t="s">
        <v>322</v>
      </c>
      <c r="D325">
        <v>68.900000000000006</v>
      </c>
      <c r="E325">
        <v>30095</v>
      </c>
      <c r="F325">
        <v>50.45</v>
      </c>
      <c r="G325" s="8" t="s">
        <v>2058</v>
      </c>
      <c r="H325" t="s">
        <v>340</v>
      </c>
      <c r="I325">
        <v>27479</v>
      </c>
      <c r="J325">
        <v>9450201</v>
      </c>
      <c r="K325">
        <v>7</v>
      </c>
      <c r="L325">
        <v>35</v>
      </c>
      <c r="M325" t="s">
        <v>226</v>
      </c>
      <c r="N325" s="6" t="s">
        <v>2340</v>
      </c>
      <c r="R325">
        <v>7</v>
      </c>
      <c r="S325">
        <v>35</v>
      </c>
      <c r="T325" t="s">
        <v>1859</v>
      </c>
      <c r="U325" t="s">
        <v>2009</v>
      </c>
      <c r="V325" t="s">
        <v>2024</v>
      </c>
      <c r="W325" t="s">
        <v>2015</v>
      </c>
      <c r="X325" t="s">
        <v>3039</v>
      </c>
    </row>
    <row r="326" spans="1:24" x14ac:dyDescent="0.3">
      <c r="A326" t="s">
        <v>1351</v>
      </c>
      <c r="B326" t="s">
        <v>743</v>
      </c>
      <c r="C326" t="s">
        <v>795</v>
      </c>
      <c r="D326">
        <v>64.2</v>
      </c>
      <c r="E326">
        <v>14014</v>
      </c>
      <c r="F326">
        <v>40</v>
      </c>
      <c r="G326" s="11"/>
      <c r="H326" t="s">
        <v>1746</v>
      </c>
      <c r="I326">
        <v>13821</v>
      </c>
      <c r="J326">
        <v>6348233</v>
      </c>
      <c r="K326">
        <v>3</v>
      </c>
      <c r="L326">
        <v>30</v>
      </c>
      <c r="M326" t="s">
        <v>226</v>
      </c>
      <c r="N326" s="6" t="s">
        <v>2341</v>
      </c>
      <c r="R326">
        <v>3</v>
      </c>
      <c r="S326">
        <v>30</v>
      </c>
      <c r="T326" t="s">
        <v>1860</v>
      </c>
      <c r="U326" t="s">
        <v>2009</v>
      </c>
      <c r="V326" t="s">
        <v>2024</v>
      </c>
      <c r="W326" t="s">
        <v>2016</v>
      </c>
      <c r="X326" t="s">
        <v>2039</v>
      </c>
    </row>
    <row r="327" spans="1:24" x14ac:dyDescent="0.3">
      <c r="A327" t="s">
        <v>1029</v>
      </c>
      <c r="B327" t="s">
        <v>402</v>
      </c>
      <c r="D327">
        <v>49.7532</v>
      </c>
      <c r="E327">
        <v>23038</v>
      </c>
      <c r="F327">
        <v>50.1</v>
      </c>
      <c r="G327" s="8" t="s">
        <v>2109</v>
      </c>
      <c r="H327" t="s">
        <v>383</v>
      </c>
      <c r="I327" t="s">
        <v>383</v>
      </c>
      <c r="J327" t="s">
        <v>383</v>
      </c>
      <c r="K327">
        <v>8</v>
      </c>
      <c r="L327">
        <v>31</v>
      </c>
      <c r="M327" t="s">
        <v>226</v>
      </c>
      <c r="N327" s="6" t="s">
        <v>2342</v>
      </c>
      <c r="R327">
        <v>8</v>
      </c>
      <c r="S327">
        <v>31</v>
      </c>
      <c r="T327" t="s">
        <v>1861</v>
      </c>
      <c r="U327" t="s">
        <v>2009</v>
      </c>
      <c r="V327" t="s">
        <v>2024</v>
      </c>
      <c r="W327" t="s">
        <v>2015</v>
      </c>
      <c r="X327" t="s">
        <v>3039</v>
      </c>
    </row>
    <row r="328" spans="1:24" x14ac:dyDescent="0.3">
      <c r="A328" t="s">
        <v>1285</v>
      </c>
      <c r="B328" t="s">
        <v>792</v>
      </c>
      <c r="C328" t="s">
        <v>1714</v>
      </c>
      <c r="D328">
        <v>48.030999999999999</v>
      </c>
      <c r="E328">
        <v>17911</v>
      </c>
      <c r="F328">
        <v>51.02</v>
      </c>
      <c r="G328" s="11"/>
      <c r="H328" t="s">
        <v>1746</v>
      </c>
      <c r="I328">
        <v>17633</v>
      </c>
      <c r="J328">
        <v>6808012</v>
      </c>
      <c r="K328">
        <v>10</v>
      </c>
      <c r="L328">
        <v>27</v>
      </c>
      <c r="M328" t="s">
        <v>227</v>
      </c>
      <c r="N328" s="6" t="s">
        <v>2183</v>
      </c>
      <c r="R328">
        <v>10</v>
      </c>
      <c r="S328">
        <v>27</v>
      </c>
      <c r="T328" t="s">
        <v>1861</v>
      </c>
      <c r="U328" t="s">
        <v>2009</v>
      </c>
      <c r="V328" t="s">
        <v>2024</v>
      </c>
      <c r="W328" t="s">
        <v>2015</v>
      </c>
      <c r="X328" t="s">
        <v>3039</v>
      </c>
    </row>
    <row r="329" spans="1:24" x14ac:dyDescent="0.3">
      <c r="A329" t="s">
        <v>1030</v>
      </c>
      <c r="B329" t="s">
        <v>170</v>
      </c>
      <c r="D329">
        <v>12.403</v>
      </c>
      <c r="E329">
        <v>6002</v>
      </c>
      <c r="F329">
        <v>35</v>
      </c>
      <c r="G329" s="11"/>
      <c r="H329" t="s">
        <v>1746</v>
      </c>
      <c r="I329">
        <v>5993</v>
      </c>
      <c r="J329">
        <v>2810211</v>
      </c>
      <c r="K329">
        <v>6.12</v>
      </c>
      <c r="L329">
        <v>37</v>
      </c>
      <c r="M329" t="s">
        <v>227</v>
      </c>
      <c r="N329" s="6" t="s">
        <v>2343</v>
      </c>
      <c r="R329">
        <v>6.12</v>
      </c>
      <c r="S329">
        <v>37</v>
      </c>
      <c r="T329" t="s">
        <v>1862</v>
      </c>
      <c r="U329" t="s">
        <v>2009</v>
      </c>
      <c r="V329" t="s">
        <v>2024</v>
      </c>
      <c r="W329" t="s">
        <v>2016</v>
      </c>
      <c r="X329" t="s">
        <v>3045</v>
      </c>
    </row>
    <row r="330" spans="1:24" x14ac:dyDescent="0.3">
      <c r="A330" t="s">
        <v>1031</v>
      </c>
      <c r="B330" t="s">
        <v>560</v>
      </c>
      <c r="D330">
        <v>41.625999999999998</v>
      </c>
      <c r="E330">
        <v>15561</v>
      </c>
      <c r="F330">
        <v>49.64</v>
      </c>
      <c r="G330" s="8" t="s">
        <v>2110</v>
      </c>
      <c r="H330" t="s">
        <v>1746</v>
      </c>
      <c r="I330">
        <v>16572</v>
      </c>
      <c r="J330">
        <v>7037948</v>
      </c>
      <c r="K330">
        <v>8</v>
      </c>
      <c r="L330">
        <v>39</v>
      </c>
      <c r="M330" t="s">
        <v>226</v>
      </c>
      <c r="N330" s="6" t="s">
        <v>2344</v>
      </c>
      <c r="R330">
        <v>8</v>
      </c>
      <c r="S330">
        <v>39</v>
      </c>
      <c r="T330" t="s">
        <v>643</v>
      </c>
      <c r="U330" t="s">
        <v>2009</v>
      </c>
      <c r="V330" t="s">
        <v>2024</v>
      </c>
      <c r="W330" t="s">
        <v>2015</v>
      </c>
      <c r="X330" t="s">
        <v>3039</v>
      </c>
    </row>
    <row r="331" spans="1:24" x14ac:dyDescent="0.3">
      <c r="A331" t="s">
        <v>1542</v>
      </c>
      <c r="B331" t="s">
        <v>3802</v>
      </c>
      <c r="D331">
        <v>61.5</v>
      </c>
      <c r="E331">
        <v>18321</v>
      </c>
      <c r="F331">
        <v>48.72</v>
      </c>
      <c r="G331" s="8" t="s">
        <v>2111</v>
      </c>
      <c r="H331" t="s">
        <v>383</v>
      </c>
      <c r="I331" t="s">
        <v>383</v>
      </c>
      <c r="J331" t="s">
        <v>383</v>
      </c>
      <c r="M331" t="s">
        <v>1691</v>
      </c>
      <c r="N331" s="6" t="s">
        <v>2168</v>
      </c>
      <c r="O331">
        <v>3</v>
      </c>
      <c r="P331">
        <v>28</v>
      </c>
      <c r="Q331">
        <v>3</v>
      </c>
      <c r="R331">
        <v>3</v>
      </c>
      <c r="S331">
        <v>28</v>
      </c>
      <c r="T331" t="s">
        <v>1863</v>
      </c>
      <c r="U331" t="s">
        <v>2009</v>
      </c>
      <c r="V331" t="s">
        <v>2024</v>
      </c>
      <c r="W331" t="s">
        <v>2016</v>
      </c>
      <c r="X331" t="s">
        <v>2039</v>
      </c>
    </row>
    <row r="332" spans="1:24" x14ac:dyDescent="0.3">
      <c r="A332" t="s">
        <v>1544</v>
      </c>
      <c r="B332" t="s">
        <v>3803</v>
      </c>
      <c r="D332">
        <v>59.6</v>
      </c>
      <c r="E332">
        <v>20715</v>
      </c>
      <c r="F332">
        <v>51.5</v>
      </c>
      <c r="G332" s="11"/>
      <c r="H332" t="s">
        <v>340</v>
      </c>
      <c r="I332">
        <v>20498</v>
      </c>
      <c r="J332">
        <v>8970535</v>
      </c>
      <c r="M332" t="s">
        <v>1691</v>
      </c>
      <c r="N332" s="6" t="s">
        <v>2168</v>
      </c>
      <c r="O332">
        <v>3</v>
      </c>
      <c r="P332">
        <v>28</v>
      </c>
      <c r="Q332">
        <v>3</v>
      </c>
      <c r="R332">
        <v>3</v>
      </c>
      <c r="S332">
        <v>28</v>
      </c>
      <c r="T332" t="s">
        <v>1863</v>
      </c>
      <c r="U332" t="s">
        <v>2009</v>
      </c>
      <c r="V332" t="s">
        <v>2024</v>
      </c>
      <c r="W332" t="s">
        <v>2016</v>
      </c>
      <c r="X332" t="s">
        <v>2039</v>
      </c>
    </row>
    <row r="333" spans="1:24" x14ac:dyDescent="0.3">
      <c r="A333" t="s">
        <v>1288</v>
      </c>
      <c r="B333" t="s">
        <v>796</v>
      </c>
      <c r="D333">
        <v>31.5</v>
      </c>
      <c r="E333">
        <v>9530</v>
      </c>
      <c r="F333">
        <v>49.38</v>
      </c>
      <c r="G333" s="8" t="s">
        <v>2112</v>
      </c>
      <c r="H333" t="s">
        <v>383</v>
      </c>
      <c r="I333" t="s">
        <v>383</v>
      </c>
      <c r="J333" t="s">
        <v>383</v>
      </c>
      <c r="K333">
        <v>13</v>
      </c>
      <c r="L333">
        <v>32</v>
      </c>
      <c r="M333" t="s">
        <v>228</v>
      </c>
      <c r="N333" s="6" t="s">
        <v>2112</v>
      </c>
      <c r="R333">
        <v>13</v>
      </c>
      <c r="S333">
        <v>32</v>
      </c>
      <c r="T333" t="s">
        <v>1864</v>
      </c>
      <c r="U333" t="s">
        <v>2009</v>
      </c>
      <c r="V333" t="s">
        <v>2024</v>
      </c>
      <c r="W333" t="s">
        <v>2016</v>
      </c>
      <c r="X333" t="s">
        <v>2039</v>
      </c>
    </row>
    <row r="334" spans="1:24" x14ac:dyDescent="0.3">
      <c r="A334" t="s">
        <v>1289</v>
      </c>
      <c r="B334" t="s">
        <v>797</v>
      </c>
      <c r="D334">
        <v>27.1</v>
      </c>
      <c r="E334">
        <v>8868</v>
      </c>
      <c r="F334">
        <v>50</v>
      </c>
      <c r="G334" s="8" t="s">
        <v>2112</v>
      </c>
      <c r="H334" t="s">
        <v>383</v>
      </c>
      <c r="I334" t="s">
        <v>383</v>
      </c>
      <c r="J334" t="s">
        <v>383</v>
      </c>
      <c r="K334">
        <v>13</v>
      </c>
      <c r="L334">
        <v>32</v>
      </c>
      <c r="M334" t="s">
        <v>228</v>
      </c>
      <c r="N334" s="6" t="s">
        <v>2112</v>
      </c>
      <c r="R334">
        <v>13</v>
      </c>
      <c r="S334">
        <v>32</v>
      </c>
      <c r="T334" t="s">
        <v>1864</v>
      </c>
      <c r="U334" t="s">
        <v>2009</v>
      </c>
      <c r="V334" t="s">
        <v>2024</v>
      </c>
      <c r="W334" t="s">
        <v>2016</v>
      </c>
      <c r="X334" t="s">
        <v>2039</v>
      </c>
    </row>
    <row r="335" spans="1:24" x14ac:dyDescent="0.3">
      <c r="A335" t="s">
        <v>1134</v>
      </c>
      <c r="B335" t="s">
        <v>147</v>
      </c>
      <c r="D335">
        <f>AVERAGE(22.609,10.8113)</f>
        <v>16.710149999999999</v>
      </c>
      <c r="E335">
        <f>AVERAGE(4748,5140)</f>
        <v>4944</v>
      </c>
      <c r="F335">
        <v>38</v>
      </c>
      <c r="G335" s="11"/>
      <c r="H335" t="s">
        <v>1746</v>
      </c>
      <c r="I335">
        <v>5146</v>
      </c>
      <c r="J335">
        <v>2636562</v>
      </c>
      <c r="K335">
        <v>15</v>
      </c>
      <c r="L335">
        <v>46</v>
      </c>
      <c r="M335" t="s">
        <v>226</v>
      </c>
      <c r="N335" s="6" t="s">
        <v>2345</v>
      </c>
      <c r="R335">
        <v>15</v>
      </c>
      <c r="S335">
        <v>46</v>
      </c>
      <c r="T335" t="s">
        <v>1865</v>
      </c>
      <c r="U335" t="s">
        <v>2009</v>
      </c>
      <c r="V335" t="s">
        <v>2024</v>
      </c>
      <c r="W335" t="s">
        <v>2016</v>
      </c>
      <c r="X335" t="s">
        <v>3045</v>
      </c>
    </row>
    <row r="336" spans="1:24" x14ac:dyDescent="0.3">
      <c r="A336" t="s">
        <v>1277</v>
      </c>
      <c r="B336" t="s">
        <v>3804</v>
      </c>
      <c r="C336" t="s">
        <v>779</v>
      </c>
      <c r="D336">
        <v>23.5</v>
      </c>
      <c r="E336">
        <v>8064</v>
      </c>
      <c r="F336">
        <v>51</v>
      </c>
      <c r="G336" s="11"/>
      <c r="H336" t="s">
        <v>383</v>
      </c>
      <c r="I336" t="s">
        <v>383</v>
      </c>
      <c r="J336" t="s">
        <v>383</v>
      </c>
      <c r="K336">
        <v>7.5</v>
      </c>
      <c r="L336">
        <v>32</v>
      </c>
      <c r="M336" t="s">
        <v>227</v>
      </c>
      <c r="N336" s="6" t="s">
        <v>2346</v>
      </c>
      <c r="R336">
        <v>7.5</v>
      </c>
      <c r="S336">
        <v>32</v>
      </c>
      <c r="T336" t="s">
        <v>600</v>
      </c>
      <c r="U336" t="s">
        <v>2009</v>
      </c>
      <c r="V336" t="s">
        <v>2024</v>
      </c>
      <c r="W336" t="s">
        <v>2016</v>
      </c>
      <c r="X336" t="s">
        <v>2039</v>
      </c>
    </row>
    <row r="337" spans="1:24" x14ac:dyDescent="0.3">
      <c r="A337" t="s">
        <v>1033</v>
      </c>
      <c r="B337" t="s">
        <v>295</v>
      </c>
      <c r="D337">
        <v>13.7845</v>
      </c>
      <c r="E337">
        <v>4884</v>
      </c>
      <c r="F337">
        <v>30.45</v>
      </c>
      <c r="G337" s="8" t="s">
        <v>2113</v>
      </c>
      <c r="H337" t="s">
        <v>383</v>
      </c>
      <c r="I337" t="s">
        <v>383</v>
      </c>
      <c r="J337" t="s">
        <v>383</v>
      </c>
      <c r="K337">
        <v>18</v>
      </c>
      <c r="L337">
        <v>42</v>
      </c>
      <c r="M337" t="s">
        <v>227</v>
      </c>
      <c r="N337" s="6" t="s">
        <v>2234</v>
      </c>
      <c r="R337">
        <v>18</v>
      </c>
      <c r="S337">
        <v>42</v>
      </c>
      <c r="T337" t="s">
        <v>1866</v>
      </c>
      <c r="U337" t="s">
        <v>2009</v>
      </c>
      <c r="V337" t="s">
        <v>2024</v>
      </c>
      <c r="W337" t="s">
        <v>2016</v>
      </c>
      <c r="X337" t="s">
        <v>3045</v>
      </c>
    </row>
    <row r="338" spans="1:24" x14ac:dyDescent="0.3">
      <c r="A338" t="s">
        <v>844</v>
      </c>
      <c r="B338" t="s">
        <v>342</v>
      </c>
      <c r="C338" t="s">
        <v>1694</v>
      </c>
      <c r="D338">
        <v>13.89</v>
      </c>
      <c r="E338">
        <v>5063</v>
      </c>
      <c r="F338">
        <v>31.8</v>
      </c>
      <c r="G338" s="8" t="s">
        <v>2114</v>
      </c>
      <c r="H338" t="s">
        <v>383</v>
      </c>
      <c r="I338" t="s">
        <v>383</v>
      </c>
      <c r="J338" t="s">
        <v>383</v>
      </c>
      <c r="K338">
        <v>20</v>
      </c>
      <c r="L338">
        <v>45</v>
      </c>
      <c r="M338" t="s">
        <v>227</v>
      </c>
      <c r="N338" s="6" t="s">
        <v>2347</v>
      </c>
      <c r="O338" s="14"/>
      <c r="P338" s="14"/>
      <c r="R338">
        <v>20</v>
      </c>
      <c r="S338">
        <v>45</v>
      </c>
      <c r="T338" t="s">
        <v>1866</v>
      </c>
      <c r="U338" t="s">
        <v>2009</v>
      </c>
      <c r="V338" t="s">
        <v>2024</v>
      </c>
      <c r="W338" t="s">
        <v>2016</v>
      </c>
      <c r="X338" t="s">
        <v>3045</v>
      </c>
    </row>
    <row r="339" spans="1:24" x14ac:dyDescent="0.3">
      <c r="A339" t="s">
        <v>1034</v>
      </c>
      <c r="B339" t="s">
        <v>153</v>
      </c>
      <c r="D339">
        <v>10.689</v>
      </c>
      <c r="E339">
        <v>5076</v>
      </c>
      <c r="F339">
        <v>38.704700000000003</v>
      </c>
      <c r="G339" s="11"/>
      <c r="H339" t="s">
        <v>1746</v>
      </c>
      <c r="I339">
        <v>5048</v>
      </c>
      <c r="J339">
        <v>2451667</v>
      </c>
      <c r="K339">
        <v>10</v>
      </c>
      <c r="L339">
        <v>37</v>
      </c>
      <c r="M339" t="s">
        <v>226</v>
      </c>
      <c r="N339" s="6" t="s">
        <v>2348</v>
      </c>
      <c r="R339">
        <v>10</v>
      </c>
      <c r="S339">
        <v>37</v>
      </c>
      <c r="T339" t="s">
        <v>1867</v>
      </c>
      <c r="U339" t="s">
        <v>2009</v>
      </c>
      <c r="V339" t="s">
        <v>2024</v>
      </c>
      <c r="W339" t="s">
        <v>2016</v>
      </c>
      <c r="X339" t="s">
        <v>3045</v>
      </c>
    </row>
    <row r="340" spans="1:24" x14ac:dyDescent="0.3">
      <c r="A340" t="s">
        <v>907</v>
      </c>
      <c r="B340" t="s">
        <v>239</v>
      </c>
      <c r="C340" t="s">
        <v>12</v>
      </c>
      <c r="D340">
        <f>AVERAGE(10.794,10.92)</f>
        <v>10.856999999999999</v>
      </c>
      <c r="E340">
        <f>AVERAGE(5005,4941)</f>
        <v>4973</v>
      </c>
      <c r="F340">
        <v>40.116999999999997</v>
      </c>
      <c r="G340" s="11"/>
      <c r="H340" t="s">
        <v>3707</v>
      </c>
      <c r="I340" t="e">
        <v>#REF!</v>
      </c>
      <c r="J340" t="e">
        <v>#REF!</v>
      </c>
      <c r="K340">
        <v>2</v>
      </c>
      <c r="L340">
        <v>47</v>
      </c>
      <c r="M340" t="s">
        <v>236</v>
      </c>
      <c r="N340" s="6" t="s">
        <v>2292</v>
      </c>
      <c r="R340">
        <v>2</v>
      </c>
      <c r="S340">
        <v>47</v>
      </c>
      <c r="T340" t="s">
        <v>1867</v>
      </c>
      <c r="U340" t="s">
        <v>2009</v>
      </c>
      <c r="V340" t="s">
        <v>2024</v>
      </c>
      <c r="W340" t="s">
        <v>2016</v>
      </c>
      <c r="X340" t="s">
        <v>3045</v>
      </c>
    </row>
    <row r="341" spans="1:24" x14ac:dyDescent="0.3">
      <c r="A341" t="s">
        <v>885</v>
      </c>
      <c r="B341" t="s">
        <v>434</v>
      </c>
      <c r="C341" t="s">
        <v>435</v>
      </c>
      <c r="D341">
        <v>15.604100000000001</v>
      </c>
      <c r="F341">
        <v>37.5</v>
      </c>
      <c r="G341" s="11"/>
      <c r="H341" t="s">
        <v>383</v>
      </c>
      <c r="I341" t="s">
        <v>383</v>
      </c>
      <c r="J341" t="s">
        <v>383</v>
      </c>
      <c r="K341">
        <v>0</v>
      </c>
      <c r="L341">
        <v>30</v>
      </c>
      <c r="M341" t="s">
        <v>227</v>
      </c>
      <c r="N341" s="6" t="s">
        <v>2234</v>
      </c>
      <c r="R341">
        <v>0</v>
      </c>
      <c r="S341">
        <v>30</v>
      </c>
      <c r="T341" t="s">
        <v>1868</v>
      </c>
      <c r="U341" t="s">
        <v>2009</v>
      </c>
      <c r="V341" t="s">
        <v>2024</v>
      </c>
      <c r="W341" t="s">
        <v>2016</v>
      </c>
      <c r="X341" t="s">
        <v>3045</v>
      </c>
    </row>
    <row r="342" spans="1:24" x14ac:dyDescent="0.3">
      <c r="A342" t="s">
        <v>897</v>
      </c>
      <c r="B342" t="s">
        <v>448</v>
      </c>
      <c r="C342" t="s">
        <v>449</v>
      </c>
      <c r="D342">
        <v>14.1836</v>
      </c>
      <c r="F342">
        <v>37.299999999999997</v>
      </c>
      <c r="G342" s="11"/>
      <c r="H342" t="s">
        <v>383</v>
      </c>
      <c r="I342" t="s">
        <v>383</v>
      </c>
      <c r="J342" t="s">
        <v>383</v>
      </c>
      <c r="K342">
        <v>0</v>
      </c>
      <c r="L342">
        <v>30</v>
      </c>
      <c r="M342" t="s">
        <v>227</v>
      </c>
      <c r="N342" s="6" t="s">
        <v>2234</v>
      </c>
      <c r="R342">
        <v>0</v>
      </c>
      <c r="S342">
        <v>30</v>
      </c>
      <c r="T342" t="s">
        <v>1868</v>
      </c>
      <c r="U342" t="s">
        <v>2009</v>
      </c>
      <c r="V342" t="s">
        <v>2024</v>
      </c>
      <c r="W342" t="s">
        <v>2016</v>
      </c>
      <c r="X342" t="s">
        <v>3045</v>
      </c>
    </row>
    <row r="343" spans="1:24" x14ac:dyDescent="0.3">
      <c r="A343" t="s">
        <v>1035</v>
      </c>
      <c r="B343" t="s">
        <v>498</v>
      </c>
      <c r="D343">
        <v>15.014200000000001</v>
      </c>
      <c r="F343">
        <v>40.299999999999997</v>
      </c>
      <c r="G343" s="11"/>
      <c r="H343" t="s">
        <v>383</v>
      </c>
      <c r="I343" t="s">
        <v>383</v>
      </c>
      <c r="J343" t="s">
        <v>383</v>
      </c>
      <c r="K343">
        <v>0</v>
      </c>
      <c r="L343">
        <v>35</v>
      </c>
      <c r="M343" t="s">
        <v>227</v>
      </c>
      <c r="N343" s="6" t="s">
        <v>2234</v>
      </c>
      <c r="R343">
        <v>0</v>
      </c>
      <c r="S343">
        <v>35</v>
      </c>
      <c r="T343" t="s">
        <v>1868</v>
      </c>
      <c r="U343" t="s">
        <v>2009</v>
      </c>
      <c r="V343" t="s">
        <v>2024</v>
      </c>
      <c r="W343" t="s">
        <v>2016</v>
      </c>
      <c r="X343" t="s">
        <v>3045</v>
      </c>
    </row>
    <row r="344" spans="1:24" x14ac:dyDescent="0.3">
      <c r="A344" t="s">
        <v>1036</v>
      </c>
      <c r="B344" t="s">
        <v>150</v>
      </c>
      <c r="C344" t="s">
        <v>345</v>
      </c>
      <c r="D344">
        <v>9.2159999999999993</v>
      </c>
      <c r="E344">
        <v>5040</v>
      </c>
      <c r="F344">
        <v>41.1</v>
      </c>
      <c r="G344" s="11"/>
      <c r="H344" t="s">
        <v>341</v>
      </c>
      <c r="I344">
        <v>5057</v>
      </c>
      <c r="J344">
        <v>2488552</v>
      </c>
      <c r="K344">
        <v>9</v>
      </c>
      <c r="L344">
        <v>34</v>
      </c>
      <c r="M344" t="s">
        <v>226</v>
      </c>
      <c r="N344" s="6" t="s">
        <v>2349</v>
      </c>
      <c r="R344">
        <v>9</v>
      </c>
      <c r="S344">
        <v>34</v>
      </c>
      <c r="T344" t="s">
        <v>1869</v>
      </c>
      <c r="U344" t="s">
        <v>2009</v>
      </c>
      <c r="V344" t="s">
        <v>2024</v>
      </c>
      <c r="W344" t="s">
        <v>2016</v>
      </c>
      <c r="X344" t="s">
        <v>3045</v>
      </c>
    </row>
    <row r="345" spans="1:24" x14ac:dyDescent="0.3">
      <c r="A345" t="s">
        <v>904</v>
      </c>
      <c r="B345" t="s">
        <v>460</v>
      </c>
      <c r="C345" t="s">
        <v>461</v>
      </c>
      <c r="D345">
        <v>14.9335</v>
      </c>
      <c r="F345">
        <v>44.9</v>
      </c>
      <c r="G345" s="11"/>
      <c r="H345" t="s">
        <v>383</v>
      </c>
      <c r="I345" t="s">
        <v>383</v>
      </c>
      <c r="J345" t="s">
        <v>383</v>
      </c>
      <c r="K345">
        <v>0</v>
      </c>
      <c r="L345">
        <v>35</v>
      </c>
      <c r="M345" t="s">
        <v>227</v>
      </c>
      <c r="N345" s="6" t="s">
        <v>2234</v>
      </c>
      <c r="R345">
        <v>0</v>
      </c>
      <c r="S345">
        <v>35</v>
      </c>
      <c r="T345" t="s">
        <v>1870</v>
      </c>
      <c r="U345" t="s">
        <v>2009</v>
      </c>
      <c r="V345" t="s">
        <v>2024</v>
      </c>
      <c r="W345" t="s">
        <v>2016</v>
      </c>
      <c r="X345" t="s">
        <v>3045</v>
      </c>
    </row>
    <row r="346" spans="1:24" x14ac:dyDescent="0.3">
      <c r="A346" t="s">
        <v>901</v>
      </c>
      <c r="B346" t="s">
        <v>455</v>
      </c>
      <c r="C346" t="s">
        <v>456</v>
      </c>
      <c r="D346">
        <v>12.0395</v>
      </c>
      <c r="F346">
        <v>35.75</v>
      </c>
      <c r="G346" s="11"/>
      <c r="H346" t="s">
        <v>383</v>
      </c>
      <c r="I346" t="s">
        <v>383</v>
      </c>
      <c r="J346" t="s">
        <v>383</v>
      </c>
      <c r="K346">
        <v>21</v>
      </c>
      <c r="L346">
        <v>30</v>
      </c>
      <c r="M346" t="s">
        <v>227</v>
      </c>
      <c r="N346" s="6" t="s">
        <v>2234</v>
      </c>
      <c r="R346">
        <v>21</v>
      </c>
      <c r="S346">
        <v>30</v>
      </c>
      <c r="T346" t="s">
        <v>1871</v>
      </c>
      <c r="U346" t="s">
        <v>2009</v>
      </c>
      <c r="V346" t="s">
        <v>2024</v>
      </c>
      <c r="W346" t="s">
        <v>2016</v>
      </c>
      <c r="X346" t="s">
        <v>3045</v>
      </c>
    </row>
    <row r="347" spans="1:24" x14ac:dyDescent="0.3">
      <c r="A347" t="s">
        <v>1037</v>
      </c>
      <c r="B347" t="s">
        <v>499</v>
      </c>
      <c r="D347">
        <v>11.261799999999999</v>
      </c>
      <c r="E347">
        <v>4998</v>
      </c>
      <c r="F347">
        <v>45.313099999999999</v>
      </c>
      <c r="G347" s="11"/>
      <c r="H347" t="s">
        <v>340</v>
      </c>
      <c r="I347">
        <v>4998</v>
      </c>
      <c r="J347">
        <v>2445138</v>
      </c>
      <c r="K347">
        <v>0</v>
      </c>
      <c r="L347">
        <v>35</v>
      </c>
      <c r="M347" t="s">
        <v>227</v>
      </c>
      <c r="N347" s="6" t="s">
        <v>2234</v>
      </c>
      <c r="R347">
        <v>0</v>
      </c>
      <c r="S347">
        <v>35</v>
      </c>
      <c r="T347" t="s">
        <v>387</v>
      </c>
      <c r="U347" t="s">
        <v>2009</v>
      </c>
      <c r="V347" t="s">
        <v>2024</v>
      </c>
      <c r="W347" t="s">
        <v>2016</v>
      </c>
      <c r="X347" t="s">
        <v>3045</v>
      </c>
    </row>
    <row r="348" spans="1:24" x14ac:dyDescent="0.3">
      <c r="A348" t="s">
        <v>1291</v>
      </c>
      <c r="B348" t="s">
        <v>414</v>
      </c>
      <c r="D348">
        <v>10.332800000000001</v>
      </c>
      <c r="E348">
        <v>5074</v>
      </c>
      <c r="F348">
        <v>46.7</v>
      </c>
      <c r="G348" s="11"/>
      <c r="H348" t="s">
        <v>3707</v>
      </c>
      <c r="I348">
        <v>5074</v>
      </c>
      <c r="J348">
        <v>2466367</v>
      </c>
      <c r="K348">
        <v>4</v>
      </c>
      <c r="L348">
        <v>37</v>
      </c>
      <c r="M348" t="s">
        <v>227</v>
      </c>
      <c r="N348" s="6" t="s">
        <v>2350</v>
      </c>
      <c r="O348" s="14"/>
      <c r="P348" s="14"/>
      <c r="R348">
        <v>4</v>
      </c>
      <c r="S348">
        <v>37</v>
      </c>
      <c r="T348" t="s">
        <v>387</v>
      </c>
      <c r="U348" t="s">
        <v>2009</v>
      </c>
      <c r="V348" t="s">
        <v>2024</v>
      </c>
      <c r="W348" t="s">
        <v>2016</v>
      </c>
      <c r="X348" t="s">
        <v>3045</v>
      </c>
    </row>
    <row r="349" spans="1:24" x14ac:dyDescent="0.3">
      <c r="A349" t="s">
        <v>1038</v>
      </c>
      <c r="B349" t="s">
        <v>75</v>
      </c>
      <c r="D349">
        <v>10.391999999999999</v>
      </c>
      <c r="E349">
        <v>5092</v>
      </c>
      <c r="F349">
        <v>47.283799999999999</v>
      </c>
      <c r="G349" s="11"/>
      <c r="H349" t="s">
        <v>1746</v>
      </c>
      <c r="I349">
        <v>5093</v>
      </c>
      <c r="J349">
        <v>2500247</v>
      </c>
      <c r="K349">
        <v>10</v>
      </c>
      <c r="L349">
        <v>49</v>
      </c>
      <c r="M349" t="s">
        <v>226</v>
      </c>
      <c r="N349" s="6" t="s">
        <v>2351</v>
      </c>
      <c r="Q349" t="s">
        <v>413</v>
      </c>
      <c r="R349">
        <v>10</v>
      </c>
      <c r="S349">
        <v>49</v>
      </c>
      <c r="T349" t="s">
        <v>387</v>
      </c>
      <c r="U349" t="s">
        <v>2009</v>
      </c>
      <c r="V349" t="s">
        <v>2024</v>
      </c>
      <c r="W349" t="s">
        <v>2016</v>
      </c>
      <c r="X349" t="s">
        <v>3045</v>
      </c>
    </row>
    <row r="350" spans="1:24" x14ac:dyDescent="0.3">
      <c r="A350" t="s">
        <v>1039</v>
      </c>
      <c r="B350" t="s">
        <v>245</v>
      </c>
      <c r="D350">
        <v>90.37</v>
      </c>
      <c r="E350">
        <v>13305</v>
      </c>
      <c r="F350">
        <v>0.52100000000000002</v>
      </c>
      <c r="G350" s="11"/>
      <c r="H350" t="s">
        <v>3707</v>
      </c>
      <c r="I350">
        <v>13305</v>
      </c>
      <c r="J350">
        <v>5890698</v>
      </c>
      <c r="K350">
        <v>7</v>
      </c>
      <c r="L350">
        <v>31</v>
      </c>
      <c r="M350" t="s">
        <v>226</v>
      </c>
      <c r="N350" s="6" t="s">
        <v>2352</v>
      </c>
      <c r="R350">
        <v>7</v>
      </c>
      <c r="S350">
        <v>31</v>
      </c>
      <c r="T350" t="s">
        <v>1872</v>
      </c>
      <c r="U350" t="s">
        <v>2009</v>
      </c>
      <c r="V350" t="s">
        <v>2024</v>
      </c>
      <c r="W350" t="s">
        <v>2015</v>
      </c>
      <c r="X350" t="s">
        <v>3039</v>
      </c>
    </row>
    <row r="351" spans="1:24" x14ac:dyDescent="0.3">
      <c r="A351" t="s">
        <v>1040</v>
      </c>
      <c r="B351" t="s">
        <v>318</v>
      </c>
      <c r="D351">
        <v>54.2</v>
      </c>
      <c r="E351">
        <v>12997</v>
      </c>
      <c r="F351">
        <v>52.05</v>
      </c>
      <c r="G351" s="8" t="s">
        <v>2058</v>
      </c>
      <c r="H351" t="s">
        <v>340</v>
      </c>
      <c r="I351">
        <v>18194</v>
      </c>
      <c r="J351">
        <v>7254855</v>
      </c>
      <c r="K351">
        <v>8</v>
      </c>
      <c r="L351">
        <v>34</v>
      </c>
      <c r="M351" t="s">
        <v>226</v>
      </c>
      <c r="N351" s="6" t="s">
        <v>2224</v>
      </c>
      <c r="R351">
        <v>8</v>
      </c>
      <c r="S351">
        <v>34</v>
      </c>
      <c r="T351" t="s">
        <v>1872</v>
      </c>
      <c r="U351" t="s">
        <v>2009</v>
      </c>
      <c r="V351" t="s">
        <v>2024</v>
      </c>
      <c r="W351" t="s">
        <v>2015</v>
      </c>
      <c r="X351" t="s">
        <v>3039</v>
      </c>
    </row>
    <row r="352" spans="1:24" x14ac:dyDescent="0.3">
      <c r="A352" t="s">
        <v>1041</v>
      </c>
      <c r="B352" t="s">
        <v>319</v>
      </c>
      <c r="D352">
        <v>42.4</v>
      </c>
      <c r="E352">
        <v>13942</v>
      </c>
      <c r="F352">
        <v>50.2</v>
      </c>
      <c r="G352" s="8" t="s">
        <v>2058</v>
      </c>
      <c r="H352" t="s">
        <v>340</v>
      </c>
      <c r="I352">
        <v>14968</v>
      </c>
      <c r="J352">
        <v>5302230</v>
      </c>
      <c r="K352">
        <v>8</v>
      </c>
      <c r="L352">
        <v>33</v>
      </c>
      <c r="M352" t="s">
        <v>226</v>
      </c>
      <c r="N352" s="6" t="s">
        <v>2353</v>
      </c>
      <c r="R352">
        <v>8</v>
      </c>
      <c r="S352">
        <v>33</v>
      </c>
      <c r="T352" t="s">
        <v>1873</v>
      </c>
      <c r="U352" t="s">
        <v>2009</v>
      </c>
      <c r="V352" t="s">
        <v>2024</v>
      </c>
      <c r="W352" t="s">
        <v>2015</v>
      </c>
      <c r="X352" t="s">
        <v>3039</v>
      </c>
    </row>
    <row r="353" spans="1:24" x14ac:dyDescent="0.3">
      <c r="A353" t="s">
        <v>1042</v>
      </c>
      <c r="B353" t="s">
        <v>320</v>
      </c>
      <c r="D353">
        <v>50</v>
      </c>
      <c r="E353">
        <v>22479</v>
      </c>
      <c r="F353">
        <v>51.697000000000003</v>
      </c>
      <c r="G353" s="8" t="s">
        <v>2058</v>
      </c>
      <c r="H353" t="s">
        <v>1746</v>
      </c>
      <c r="I353">
        <v>13707</v>
      </c>
      <c r="J353">
        <v>5377943</v>
      </c>
      <c r="K353">
        <v>14</v>
      </c>
      <c r="L353">
        <v>33</v>
      </c>
      <c r="M353" t="s">
        <v>226</v>
      </c>
      <c r="N353" s="6" t="s">
        <v>2354</v>
      </c>
      <c r="O353">
        <v>10.5</v>
      </c>
      <c r="P353">
        <v>40</v>
      </c>
      <c r="Q353">
        <v>8</v>
      </c>
      <c r="R353">
        <v>10.5</v>
      </c>
      <c r="S353">
        <v>40</v>
      </c>
      <c r="T353" t="s">
        <v>1874</v>
      </c>
      <c r="U353" t="s">
        <v>2009</v>
      </c>
      <c r="V353" t="s">
        <v>2024</v>
      </c>
      <c r="W353" t="s">
        <v>2015</v>
      </c>
      <c r="X353" t="s">
        <v>3039</v>
      </c>
    </row>
    <row r="354" spans="1:24" x14ac:dyDescent="0.3">
      <c r="A354" t="s">
        <v>1272</v>
      </c>
      <c r="B354" t="s">
        <v>745</v>
      </c>
      <c r="D354">
        <v>42.8</v>
      </c>
      <c r="E354">
        <v>12434</v>
      </c>
      <c r="F354">
        <v>54.5</v>
      </c>
      <c r="G354" s="8" t="s">
        <v>2096</v>
      </c>
      <c r="H354" t="s">
        <v>340</v>
      </c>
      <c r="I354">
        <v>13054</v>
      </c>
      <c r="J354">
        <v>6501656</v>
      </c>
      <c r="K354">
        <v>10</v>
      </c>
      <c r="L354">
        <v>38</v>
      </c>
      <c r="M354" t="s">
        <v>226</v>
      </c>
      <c r="N354" s="6" t="s">
        <v>2227</v>
      </c>
      <c r="O354">
        <v>8.4</v>
      </c>
      <c r="P354">
        <v>38.5</v>
      </c>
      <c r="Q354">
        <v>21</v>
      </c>
      <c r="R354">
        <v>8.4</v>
      </c>
      <c r="S354">
        <v>38.5</v>
      </c>
      <c r="T354" t="s">
        <v>1875</v>
      </c>
      <c r="U354" t="s">
        <v>2009</v>
      </c>
      <c r="V354" t="s">
        <v>2024</v>
      </c>
      <c r="W354" t="s">
        <v>2016</v>
      </c>
      <c r="X354" t="s">
        <v>2039</v>
      </c>
    </row>
    <row r="355" spans="1:24" x14ac:dyDescent="0.3">
      <c r="A355" t="s">
        <v>1044</v>
      </c>
      <c r="B355" t="s">
        <v>38</v>
      </c>
      <c r="D355">
        <f>AVERAGE(46.097,39.922,37.485,37.815,37.713,37.472,41.825,44.793,45.594)</f>
        <v>40.968444444444444</v>
      </c>
      <c r="E355">
        <f>AVERAGE(13943,12051,12992,13370,13818,13619,12538,13891,14079)</f>
        <v>13366.777777777777</v>
      </c>
      <c r="F355">
        <v>46</v>
      </c>
      <c r="G355" s="11"/>
      <c r="H355" t="s">
        <v>1746</v>
      </c>
      <c r="I355">
        <v>12046</v>
      </c>
      <c r="J355">
        <v>5294781</v>
      </c>
      <c r="K355">
        <v>9</v>
      </c>
      <c r="L355">
        <v>32</v>
      </c>
      <c r="M355" t="s">
        <v>226</v>
      </c>
      <c r="N355" s="6" t="s">
        <v>2355</v>
      </c>
      <c r="R355">
        <v>9</v>
      </c>
      <c r="S355">
        <v>32</v>
      </c>
      <c r="T355" t="s">
        <v>644</v>
      </c>
      <c r="U355" t="s">
        <v>2009</v>
      </c>
      <c r="V355" t="s">
        <v>2024</v>
      </c>
      <c r="W355" t="s">
        <v>2015</v>
      </c>
      <c r="X355" t="s">
        <v>3039</v>
      </c>
    </row>
    <row r="356" spans="1:24" x14ac:dyDescent="0.3">
      <c r="A356" t="s">
        <v>1352</v>
      </c>
      <c r="B356" t="s">
        <v>746</v>
      </c>
      <c r="D356">
        <v>39.5</v>
      </c>
      <c r="E356">
        <v>15665</v>
      </c>
      <c r="F356">
        <v>56</v>
      </c>
      <c r="G356" s="11"/>
      <c r="H356" t="s">
        <v>1746</v>
      </c>
      <c r="I356">
        <v>15504</v>
      </c>
      <c r="J356">
        <v>6371018</v>
      </c>
      <c r="K356">
        <v>9</v>
      </c>
      <c r="L356">
        <v>40</v>
      </c>
      <c r="M356" t="s">
        <v>227</v>
      </c>
      <c r="N356" s="6" t="s">
        <v>2356</v>
      </c>
      <c r="O356">
        <v>7</v>
      </c>
      <c r="P356">
        <v>43</v>
      </c>
      <c r="Q356">
        <v>3</v>
      </c>
      <c r="R356">
        <v>7</v>
      </c>
      <c r="S356">
        <v>43</v>
      </c>
      <c r="T356" t="s">
        <v>1876</v>
      </c>
      <c r="U356" t="s">
        <v>2009</v>
      </c>
      <c r="V356" t="s">
        <v>2024</v>
      </c>
      <c r="W356" t="s">
        <v>2015</v>
      </c>
      <c r="X356" t="s">
        <v>3039</v>
      </c>
    </row>
    <row r="357" spans="1:24" x14ac:dyDescent="0.3">
      <c r="A357" t="s">
        <v>1546</v>
      </c>
      <c r="B357" t="s">
        <v>3805</v>
      </c>
      <c r="C357" t="s">
        <v>1709</v>
      </c>
      <c r="D357">
        <v>37.473999999999997</v>
      </c>
      <c r="E357">
        <v>13452</v>
      </c>
      <c r="F357">
        <v>57.5</v>
      </c>
      <c r="G357" s="11"/>
      <c r="H357" t="s">
        <v>3707</v>
      </c>
      <c r="I357">
        <v>13239</v>
      </c>
      <c r="J357">
        <v>5679612</v>
      </c>
      <c r="K357">
        <v>4</v>
      </c>
      <c r="L357">
        <v>40</v>
      </c>
      <c r="M357" t="s">
        <v>1691</v>
      </c>
      <c r="N357" s="6" t="s">
        <v>2168</v>
      </c>
      <c r="Q357">
        <v>6</v>
      </c>
      <c r="R357">
        <v>4</v>
      </c>
      <c r="S357">
        <v>40</v>
      </c>
      <c r="T357" t="s">
        <v>1877</v>
      </c>
      <c r="U357" t="s">
        <v>2009</v>
      </c>
      <c r="V357" t="s">
        <v>2024</v>
      </c>
      <c r="W357" t="s">
        <v>2015</v>
      </c>
      <c r="X357" t="s">
        <v>3039</v>
      </c>
    </row>
    <row r="358" spans="1:24" x14ac:dyDescent="0.3">
      <c r="A358" t="s">
        <v>1548</v>
      </c>
      <c r="B358" t="s">
        <v>3806</v>
      </c>
      <c r="C358" t="s">
        <v>1710</v>
      </c>
      <c r="D358">
        <v>36.9</v>
      </c>
      <c r="F358">
        <v>52</v>
      </c>
      <c r="G358" s="11"/>
      <c r="H358" t="s">
        <v>383</v>
      </c>
      <c r="I358" t="s">
        <v>383</v>
      </c>
      <c r="J358" t="s">
        <v>383</v>
      </c>
      <c r="K358">
        <v>2</v>
      </c>
      <c r="L358">
        <v>36</v>
      </c>
      <c r="M358" t="s">
        <v>1691</v>
      </c>
      <c r="N358" s="6" t="s">
        <v>2168</v>
      </c>
      <c r="Q358">
        <v>6</v>
      </c>
      <c r="R358">
        <v>2</v>
      </c>
      <c r="S358">
        <v>36</v>
      </c>
      <c r="T358" t="s">
        <v>1878</v>
      </c>
      <c r="U358" t="s">
        <v>2009</v>
      </c>
      <c r="V358" t="s">
        <v>2024</v>
      </c>
      <c r="W358" t="s">
        <v>2016</v>
      </c>
      <c r="X358" t="s">
        <v>2039</v>
      </c>
    </row>
    <row r="359" spans="1:24" x14ac:dyDescent="0.3">
      <c r="A359" t="s">
        <v>1046</v>
      </c>
      <c r="B359" t="s">
        <v>36</v>
      </c>
      <c r="D359">
        <v>44.893000000000001</v>
      </c>
      <c r="E359">
        <v>12469</v>
      </c>
      <c r="F359">
        <v>45.7</v>
      </c>
      <c r="G359" s="11"/>
      <c r="H359" t="s">
        <v>1746</v>
      </c>
      <c r="I359">
        <v>12608</v>
      </c>
      <c r="J359">
        <v>5283209</v>
      </c>
      <c r="K359">
        <v>7</v>
      </c>
      <c r="L359">
        <v>30</v>
      </c>
      <c r="M359" t="s">
        <v>226</v>
      </c>
      <c r="N359" s="6" t="s">
        <v>2357</v>
      </c>
      <c r="R359">
        <v>7</v>
      </c>
      <c r="S359">
        <v>30</v>
      </c>
      <c r="T359" t="s">
        <v>1879</v>
      </c>
      <c r="U359" t="s">
        <v>2009</v>
      </c>
      <c r="V359" t="s">
        <v>2024</v>
      </c>
      <c r="W359" t="s">
        <v>2016</v>
      </c>
      <c r="X359" t="s">
        <v>2039</v>
      </c>
    </row>
    <row r="360" spans="1:24" x14ac:dyDescent="0.3">
      <c r="A360" t="s">
        <v>1740</v>
      </c>
      <c r="B360" t="s">
        <v>1727</v>
      </c>
      <c r="D360">
        <f>AVERAGE(83.255, 181.804,72.003,101.584)</f>
        <v>109.66149999999999</v>
      </c>
      <c r="E360">
        <f>AVERAGE(11694,13095,8915)</f>
        <v>11234.666666666666</v>
      </c>
      <c r="F360">
        <v>36.5</v>
      </c>
      <c r="G360" s="11"/>
      <c r="H360" t="s">
        <v>383</v>
      </c>
      <c r="I360" t="s">
        <v>383</v>
      </c>
      <c r="J360" t="s">
        <v>383</v>
      </c>
      <c r="K360">
        <v>12</v>
      </c>
      <c r="L360">
        <v>32</v>
      </c>
      <c r="M360" t="s">
        <v>236</v>
      </c>
      <c r="N360" s="6" t="s">
        <v>2358</v>
      </c>
      <c r="R360">
        <v>12</v>
      </c>
      <c r="S360">
        <v>32</v>
      </c>
      <c r="T360" t="s">
        <v>1880</v>
      </c>
      <c r="U360" t="s">
        <v>2009</v>
      </c>
      <c r="V360" t="s">
        <v>2024</v>
      </c>
      <c r="W360" t="s">
        <v>2015</v>
      </c>
      <c r="X360" t="s">
        <v>3039</v>
      </c>
    </row>
    <row r="361" spans="1:24" x14ac:dyDescent="0.3">
      <c r="A361" t="s">
        <v>1047</v>
      </c>
      <c r="B361" t="s">
        <v>347</v>
      </c>
      <c r="D361">
        <v>26.33</v>
      </c>
      <c r="E361">
        <v>9854</v>
      </c>
      <c r="F361">
        <v>58.7</v>
      </c>
      <c r="G361" s="11"/>
      <c r="H361" t="s">
        <v>1746</v>
      </c>
      <c r="I361">
        <v>9828</v>
      </c>
      <c r="J361">
        <v>4540455</v>
      </c>
      <c r="K361">
        <v>-2</v>
      </c>
      <c r="L361">
        <v>25</v>
      </c>
      <c r="M361" t="s">
        <v>228</v>
      </c>
      <c r="N361" s="6" t="s">
        <v>2359</v>
      </c>
      <c r="Q361" t="s">
        <v>818</v>
      </c>
      <c r="R361">
        <v>-2</v>
      </c>
      <c r="S361">
        <v>25</v>
      </c>
      <c r="T361" t="s">
        <v>388</v>
      </c>
      <c r="U361" t="s">
        <v>2009</v>
      </c>
      <c r="V361" t="s">
        <v>2024</v>
      </c>
      <c r="W361" t="s">
        <v>2015</v>
      </c>
      <c r="X361" t="s">
        <v>3047</v>
      </c>
    </row>
    <row r="362" spans="1:24" x14ac:dyDescent="0.3">
      <c r="A362" t="s">
        <v>1049</v>
      </c>
      <c r="B362" t="s">
        <v>346</v>
      </c>
      <c r="D362">
        <v>26.75</v>
      </c>
      <c r="E362">
        <v>9854</v>
      </c>
      <c r="F362">
        <v>58.7</v>
      </c>
      <c r="G362" s="11"/>
      <c r="H362" t="s">
        <v>383</v>
      </c>
      <c r="I362" t="s">
        <v>383</v>
      </c>
      <c r="J362" t="s">
        <v>383</v>
      </c>
      <c r="K362">
        <v>-2</v>
      </c>
      <c r="L362">
        <v>30</v>
      </c>
      <c r="M362" t="s">
        <v>236</v>
      </c>
      <c r="N362" s="6" t="s">
        <v>2360</v>
      </c>
      <c r="R362">
        <v>-2</v>
      </c>
      <c r="S362">
        <v>30</v>
      </c>
      <c r="T362" t="s">
        <v>388</v>
      </c>
      <c r="U362" t="s">
        <v>2009</v>
      </c>
      <c r="V362" t="s">
        <v>2024</v>
      </c>
      <c r="W362" t="s">
        <v>2015</v>
      </c>
      <c r="X362" t="s">
        <v>3047</v>
      </c>
    </row>
    <row r="363" spans="1:24" x14ac:dyDescent="0.3">
      <c r="A363" t="s">
        <v>1050</v>
      </c>
      <c r="B363" t="s">
        <v>583</v>
      </c>
      <c r="D363">
        <v>26.6</v>
      </c>
      <c r="F363">
        <v>58.5</v>
      </c>
      <c r="G363" s="11"/>
      <c r="H363" t="s">
        <v>383</v>
      </c>
      <c r="I363" t="s">
        <v>383</v>
      </c>
      <c r="J363" t="s">
        <v>383</v>
      </c>
      <c r="K363">
        <v>4</v>
      </c>
      <c r="L363">
        <v>22</v>
      </c>
      <c r="M363" t="s">
        <v>227</v>
      </c>
      <c r="N363" s="6" t="s">
        <v>2231</v>
      </c>
      <c r="R363">
        <v>4</v>
      </c>
      <c r="S363">
        <v>22</v>
      </c>
      <c r="T363" t="s">
        <v>388</v>
      </c>
      <c r="U363" t="s">
        <v>2009</v>
      </c>
      <c r="V363" t="s">
        <v>2024</v>
      </c>
      <c r="W363" t="s">
        <v>2015</v>
      </c>
      <c r="X363" t="s">
        <v>3047</v>
      </c>
    </row>
    <row r="364" spans="1:24" x14ac:dyDescent="0.3">
      <c r="A364" t="s">
        <v>1051</v>
      </c>
      <c r="B364" t="s">
        <v>427</v>
      </c>
      <c r="C364" t="s">
        <v>568</v>
      </c>
      <c r="D364">
        <v>33.424999999999997</v>
      </c>
      <c r="E364">
        <v>13404</v>
      </c>
      <c r="F364">
        <v>43.45</v>
      </c>
      <c r="G364" s="8" t="s">
        <v>2115</v>
      </c>
      <c r="H364" t="s">
        <v>1746</v>
      </c>
      <c r="I364">
        <v>12138</v>
      </c>
      <c r="J364">
        <v>5257598</v>
      </c>
      <c r="K364">
        <v>11</v>
      </c>
      <c r="L364">
        <v>51</v>
      </c>
      <c r="M364" t="s">
        <v>226</v>
      </c>
      <c r="N364" s="6" t="s">
        <v>2115</v>
      </c>
      <c r="R364">
        <v>11</v>
      </c>
      <c r="S364">
        <v>51</v>
      </c>
      <c r="T364" t="s">
        <v>1881</v>
      </c>
      <c r="U364" t="s">
        <v>2009</v>
      </c>
      <c r="V364" t="s">
        <v>2023</v>
      </c>
      <c r="W364" t="s">
        <v>2014</v>
      </c>
      <c r="X364" t="s">
        <v>3037</v>
      </c>
    </row>
    <row r="365" spans="1:24" x14ac:dyDescent="0.3">
      <c r="A365" t="s">
        <v>1052</v>
      </c>
      <c r="B365" t="s">
        <v>562</v>
      </c>
      <c r="C365" t="s">
        <v>811</v>
      </c>
      <c r="D365">
        <v>33.281999999999996</v>
      </c>
      <c r="E365">
        <v>12062</v>
      </c>
      <c r="F365">
        <v>39.5</v>
      </c>
      <c r="G365" s="11"/>
      <c r="H365" t="s">
        <v>340</v>
      </c>
      <c r="I365">
        <v>12055</v>
      </c>
      <c r="J365">
        <v>5022601</v>
      </c>
      <c r="K365">
        <v>7</v>
      </c>
      <c r="L365">
        <v>41</v>
      </c>
      <c r="M365" t="s">
        <v>226</v>
      </c>
      <c r="N365" s="6" t="s">
        <v>2361</v>
      </c>
      <c r="Q365" t="s">
        <v>563</v>
      </c>
      <c r="R365">
        <v>7</v>
      </c>
      <c r="S365">
        <v>41</v>
      </c>
      <c r="T365" t="s">
        <v>1881</v>
      </c>
      <c r="U365" t="s">
        <v>2009</v>
      </c>
      <c r="V365" t="s">
        <v>2023</v>
      </c>
      <c r="W365" t="s">
        <v>2014</v>
      </c>
      <c r="X365" t="s">
        <v>3037</v>
      </c>
    </row>
    <row r="366" spans="1:24" x14ac:dyDescent="0.3">
      <c r="A366" t="s">
        <v>1053</v>
      </c>
      <c r="B366" t="s">
        <v>564</v>
      </c>
      <c r="D366">
        <v>37.5</v>
      </c>
      <c r="E366">
        <v>13172</v>
      </c>
      <c r="F366">
        <v>43.5</v>
      </c>
      <c r="G366" s="8" t="s">
        <v>2116</v>
      </c>
      <c r="H366" t="s">
        <v>340</v>
      </c>
      <c r="I366">
        <v>13019</v>
      </c>
      <c r="J366">
        <v>5920229</v>
      </c>
      <c r="K366">
        <v>15</v>
      </c>
      <c r="L366">
        <v>48</v>
      </c>
      <c r="M366" t="s">
        <v>227</v>
      </c>
      <c r="N366" s="6" t="s">
        <v>2362</v>
      </c>
      <c r="R366">
        <v>15</v>
      </c>
      <c r="S366">
        <v>48</v>
      </c>
      <c r="T366" t="s">
        <v>1881</v>
      </c>
      <c r="U366" t="s">
        <v>2009</v>
      </c>
      <c r="V366" t="s">
        <v>2023</v>
      </c>
      <c r="W366" t="s">
        <v>2014</v>
      </c>
      <c r="X366" t="s">
        <v>3037</v>
      </c>
    </row>
    <row r="367" spans="1:24" x14ac:dyDescent="0.3">
      <c r="A367" t="s">
        <v>1054</v>
      </c>
      <c r="B367" t="s">
        <v>179</v>
      </c>
      <c r="D367">
        <v>21.268000000000001</v>
      </c>
      <c r="E367">
        <v>8192</v>
      </c>
      <c r="F367">
        <v>46.95</v>
      </c>
      <c r="G367" s="11"/>
      <c r="H367" t="s">
        <v>1746</v>
      </c>
      <c r="I367">
        <v>8135</v>
      </c>
      <c r="J367">
        <v>3319293</v>
      </c>
      <c r="K367">
        <v>14</v>
      </c>
      <c r="L367">
        <v>31</v>
      </c>
      <c r="M367" t="s">
        <v>226</v>
      </c>
      <c r="N367" s="6" t="s">
        <v>2363</v>
      </c>
      <c r="R367">
        <v>14</v>
      </c>
      <c r="S367">
        <v>31</v>
      </c>
      <c r="T367" t="s">
        <v>1882</v>
      </c>
      <c r="U367" t="s">
        <v>2009</v>
      </c>
      <c r="V367" t="s">
        <v>2024</v>
      </c>
      <c r="W367" t="s">
        <v>2016</v>
      </c>
      <c r="X367" t="s">
        <v>3045</v>
      </c>
    </row>
    <row r="368" spans="1:24" x14ac:dyDescent="0.3">
      <c r="A368" t="s">
        <v>1055</v>
      </c>
      <c r="B368" t="s">
        <v>370</v>
      </c>
      <c r="D368">
        <v>53</v>
      </c>
      <c r="E368">
        <v>10643</v>
      </c>
      <c r="F368">
        <v>47.47</v>
      </c>
      <c r="G368" s="8" t="s">
        <v>2058</v>
      </c>
      <c r="H368" t="s">
        <v>383</v>
      </c>
      <c r="I368" t="s">
        <v>383</v>
      </c>
      <c r="J368" t="s">
        <v>383</v>
      </c>
      <c r="K368">
        <v>12</v>
      </c>
      <c r="L368">
        <v>34</v>
      </c>
      <c r="M368" t="s">
        <v>226</v>
      </c>
      <c r="N368" s="6" t="s">
        <v>2364</v>
      </c>
      <c r="R368">
        <v>12</v>
      </c>
      <c r="S368">
        <v>34</v>
      </c>
      <c r="T368" t="s">
        <v>1883</v>
      </c>
      <c r="U368" t="s">
        <v>2009</v>
      </c>
      <c r="V368" t="s">
        <v>2024</v>
      </c>
      <c r="W368" t="s">
        <v>2015</v>
      </c>
      <c r="X368" t="s">
        <v>3039</v>
      </c>
    </row>
    <row r="369" spans="1:24" x14ac:dyDescent="0.3">
      <c r="A369" t="s">
        <v>1353</v>
      </c>
      <c r="B369" t="s">
        <v>704</v>
      </c>
      <c r="D369">
        <v>53.6</v>
      </c>
      <c r="E369">
        <v>14969</v>
      </c>
      <c r="F369">
        <v>52.5</v>
      </c>
      <c r="G369" s="11"/>
      <c r="H369" t="s">
        <v>1746</v>
      </c>
      <c r="I369">
        <v>13804</v>
      </c>
      <c r="J369">
        <v>5914684</v>
      </c>
      <c r="K369">
        <v>10</v>
      </c>
      <c r="L369">
        <v>42</v>
      </c>
      <c r="M369" t="s">
        <v>226</v>
      </c>
      <c r="N369" s="6" t="s">
        <v>2365</v>
      </c>
      <c r="O369">
        <v>8</v>
      </c>
      <c r="P369">
        <v>42</v>
      </c>
      <c r="Q369">
        <v>13</v>
      </c>
      <c r="R369">
        <v>8</v>
      </c>
      <c r="S369">
        <v>42</v>
      </c>
      <c r="T369" t="s">
        <v>1884</v>
      </c>
      <c r="U369" t="s">
        <v>2009</v>
      </c>
      <c r="V369" t="s">
        <v>2024</v>
      </c>
      <c r="W369" t="s">
        <v>2016</v>
      </c>
      <c r="X369" t="s">
        <v>2039</v>
      </c>
    </row>
    <row r="370" spans="1:24" x14ac:dyDescent="0.3">
      <c r="A370" t="s">
        <v>1258</v>
      </c>
      <c r="B370" t="s">
        <v>759</v>
      </c>
      <c r="D370">
        <v>39.1</v>
      </c>
      <c r="E370">
        <v>10921</v>
      </c>
      <c r="F370">
        <v>55</v>
      </c>
      <c r="G370" s="8" t="s">
        <v>2117</v>
      </c>
      <c r="H370" t="s">
        <v>340</v>
      </c>
      <c r="I370">
        <v>11353</v>
      </c>
      <c r="J370">
        <v>5670568</v>
      </c>
      <c r="K370">
        <v>5</v>
      </c>
      <c r="L370">
        <v>41</v>
      </c>
      <c r="M370" t="s">
        <v>228</v>
      </c>
      <c r="N370" s="6" t="s">
        <v>2366</v>
      </c>
      <c r="R370">
        <v>5</v>
      </c>
      <c r="S370">
        <v>41</v>
      </c>
      <c r="T370" t="s">
        <v>645</v>
      </c>
      <c r="U370" t="s">
        <v>2009</v>
      </c>
      <c r="V370" t="s">
        <v>2024</v>
      </c>
      <c r="W370" t="s">
        <v>2016</v>
      </c>
      <c r="X370" t="s">
        <v>2039</v>
      </c>
    </row>
    <row r="371" spans="1:24" x14ac:dyDescent="0.3">
      <c r="A371" t="s">
        <v>2027</v>
      </c>
      <c r="B371" t="s">
        <v>2027</v>
      </c>
      <c r="D371">
        <v>36.704999999999998</v>
      </c>
      <c r="E371">
        <v>10707</v>
      </c>
      <c r="F371">
        <v>55</v>
      </c>
      <c r="G371" s="11"/>
      <c r="H371" t="s">
        <v>340</v>
      </c>
      <c r="I371">
        <v>10707</v>
      </c>
      <c r="J371">
        <v>5299538</v>
      </c>
      <c r="K371">
        <v>10</v>
      </c>
      <c r="L371">
        <v>40</v>
      </c>
      <c r="M371" t="s">
        <v>228</v>
      </c>
      <c r="N371" s="6" t="s">
        <v>2366</v>
      </c>
      <c r="R371">
        <v>10</v>
      </c>
      <c r="S371">
        <v>40</v>
      </c>
      <c r="T371" t="s">
        <v>645</v>
      </c>
      <c r="U371" t="s">
        <v>2009</v>
      </c>
      <c r="V371" t="s">
        <v>2024</v>
      </c>
      <c r="W371" t="s">
        <v>2016</v>
      </c>
      <c r="X371" t="s">
        <v>2039</v>
      </c>
    </row>
    <row r="372" spans="1:24" x14ac:dyDescent="0.3">
      <c r="A372" t="s">
        <v>1056</v>
      </c>
      <c r="B372" t="s">
        <v>133</v>
      </c>
      <c r="D372">
        <v>8.9394799999999996</v>
      </c>
      <c r="E372">
        <v>4286</v>
      </c>
      <c r="F372">
        <v>52.05</v>
      </c>
      <c r="G372" s="11"/>
      <c r="H372" t="s">
        <v>1746</v>
      </c>
      <c r="I372">
        <v>4273</v>
      </c>
      <c r="J372">
        <v>2064205</v>
      </c>
      <c r="K372">
        <v>20</v>
      </c>
      <c r="L372">
        <v>39</v>
      </c>
      <c r="M372" t="s">
        <v>226</v>
      </c>
      <c r="N372" s="6" t="s">
        <v>2367</v>
      </c>
      <c r="R372">
        <v>20</v>
      </c>
      <c r="S372">
        <v>39</v>
      </c>
      <c r="T372" t="s">
        <v>646</v>
      </c>
      <c r="U372" t="s">
        <v>2009</v>
      </c>
      <c r="V372" t="s">
        <v>2024</v>
      </c>
      <c r="W372" t="s">
        <v>2015</v>
      </c>
      <c r="X372" t="s">
        <v>3049</v>
      </c>
    </row>
    <row r="373" spans="1:24" x14ac:dyDescent="0.3">
      <c r="A373" t="s">
        <v>1057</v>
      </c>
      <c r="B373" t="s">
        <v>146</v>
      </c>
      <c r="D373">
        <v>8.15</v>
      </c>
      <c r="E373">
        <v>4202</v>
      </c>
      <c r="F373">
        <v>55.1</v>
      </c>
      <c r="G373" s="11"/>
      <c r="H373" t="s">
        <v>1746</v>
      </c>
      <c r="I373">
        <v>4201</v>
      </c>
      <c r="J373">
        <v>2130625</v>
      </c>
      <c r="K373">
        <v>25</v>
      </c>
      <c r="L373">
        <v>41</v>
      </c>
      <c r="M373" t="s">
        <v>227</v>
      </c>
      <c r="N373" s="6" t="s">
        <v>2368</v>
      </c>
      <c r="R373">
        <v>25</v>
      </c>
      <c r="S373">
        <v>41</v>
      </c>
      <c r="T373" t="s">
        <v>646</v>
      </c>
      <c r="U373" t="s">
        <v>2009</v>
      </c>
      <c r="V373" t="s">
        <v>2024</v>
      </c>
      <c r="W373" t="s">
        <v>2015</v>
      </c>
      <c r="X373" t="s">
        <v>3049</v>
      </c>
    </row>
    <row r="374" spans="1:24" x14ac:dyDescent="0.3">
      <c r="A374" t="s">
        <v>1058</v>
      </c>
      <c r="B374" t="s">
        <v>132</v>
      </c>
      <c r="D374">
        <v>7.2602200000000003</v>
      </c>
      <c r="E374">
        <v>4251</v>
      </c>
      <c r="F374">
        <v>55.696100000000001</v>
      </c>
      <c r="G374" s="11"/>
      <c r="H374" t="s">
        <v>1746</v>
      </c>
      <c r="I374">
        <v>4097</v>
      </c>
      <c r="J374">
        <v>2061502</v>
      </c>
      <c r="K374">
        <v>26</v>
      </c>
      <c r="L374">
        <v>33</v>
      </c>
      <c r="M374" t="s">
        <v>226</v>
      </c>
      <c r="N374" s="6" t="s">
        <v>2369</v>
      </c>
      <c r="R374">
        <v>26</v>
      </c>
      <c r="S374">
        <v>33</v>
      </c>
      <c r="T374" t="s">
        <v>646</v>
      </c>
      <c r="U374" t="s">
        <v>2009</v>
      </c>
      <c r="V374" t="s">
        <v>2024</v>
      </c>
      <c r="W374" t="s">
        <v>2015</v>
      </c>
      <c r="X374" t="s">
        <v>3049</v>
      </c>
    </row>
    <row r="375" spans="1:24" x14ac:dyDescent="0.3">
      <c r="A375" t="s">
        <v>1059</v>
      </c>
      <c r="B375" t="s">
        <v>565</v>
      </c>
      <c r="D375">
        <v>7.6989999999999998</v>
      </c>
      <c r="E375">
        <v>3517</v>
      </c>
      <c r="F375">
        <v>59</v>
      </c>
      <c r="G375" s="11"/>
      <c r="H375" t="s">
        <v>1746</v>
      </c>
      <c r="I375">
        <v>4490</v>
      </c>
      <c r="J375">
        <v>2235410</v>
      </c>
      <c r="K375">
        <v>25</v>
      </c>
      <c r="L375">
        <v>40</v>
      </c>
      <c r="M375" t="s">
        <v>226</v>
      </c>
      <c r="N375" s="6" t="s">
        <v>2369</v>
      </c>
      <c r="R375">
        <v>25</v>
      </c>
      <c r="S375">
        <v>40</v>
      </c>
      <c r="T375" t="s">
        <v>646</v>
      </c>
      <c r="U375" t="s">
        <v>2009</v>
      </c>
      <c r="V375" t="s">
        <v>2024</v>
      </c>
      <c r="W375" t="s">
        <v>2015</v>
      </c>
      <c r="X375" t="s">
        <v>3049</v>
      </c>
    </row>
    <row r="376" spans="1:24" x14ac:dyDescent="0.3">
      <c r="A376" t="s">
        <v>1354</v>
      </c>
      <c r="B376" t="s">
        <v>705</v>
      </c>
      <c r="D376">
        <v>7.6</v>
      </c>
      <c r="E376">
        <v>4022</v>
      </c>
      <c r="F376">
        <v>56.5</v>
      </c>
      <c r="G376" s="11"/>
      <c r="H376" t="s">
        <v>1746</v>
      </c>
      <c r="I376">
        <v>3791</v>
      </c>
      <c r="J376">
        <v>2125182</v>
      </c>
      <c r="K376">
        <v>7</v>
      </c>
      <c r="L376">
        <v>37</v>
      </c>
      <c r="M376" t="s">
        <v>227</v>
      </c>
      <c r="N376" s="6" t="s">
        <v>2370</v>
      </c>
      <c r="R376">
        <v>7</v>
      </c>
      <c r="S376">
        <v>37</v>
      </c>
      <c r="T376" t="s">
        <v>646</v>
      </c>
      <c r="U376" t="s">
        <v>2009</v>
      </c>
      <c r="V376" t="s">
        <v>2024</v>
      </c>
      <c r="W376" t="s">
        <v>2015</v>
      </c>
      <c r="X376" t="s">
        <v>3049</v>
      </c>
    </row>
    <row r="377" spans="1:24" x14ac:dyDescent="0.3">
      <c r="A377" t="s">
        <v>1060</v>
      </c>
      <c r="B377" t="s">
        <v>3</v>
      </c>
      <c r="D377">
        <v>24.331</v>
      </c>
      <c r="E377">
        <v>9074</v>
      </c>
      <c r="F377">
        <v>49.8</v>
      </c>
      <c r="G377" s="11"/>
      <c r="H377" t="s">
        <v>340</v>
      </c>
      <c r="I377">
        <v>9034</v>
      </c>
      <c r="J377">
        <v>3911125</v>
      </c>
      <c r="K377">
        <v>30</v>
      </c>
      <c r="L377">
        <v>57</v>
      </c>
      <c r="M377" t="s">
        <v>226</v>
      </c>
      <c r="N377" s="6" t="s">
        <v>2177</v>
      </c>
      <c r="R377">
        <v>30</v>
      </c>
      <c r="S377">
        <v>57</v>
      </c>
      <c r="T377" t="s">
        <v>1885</v>
      </c>
      <c r="U377" t="s">
        <v>2009</v>
      </c>
      <c r="V377" t="s">
        <v>2024</v>
      </c>
      <c r="W377" t="s">
        <v>2016</v>
      </c>
      <c r="X377" t="s">
        <v>2039</v>
      </c>
    </row>
    <row r="378" spans="1:24" x14ac:dyDescent="0.3">
      <c r="A378" t="s">
        <v>1061</v>
      </c>
      <c r="B378" t="s">
        <v>260</v>
      </c>
      <c r="D378">
        <v>117.8</v>
      </c>
      <c r="E378">
        <v>16257</v>
      </c>
      <c r="F378">
        <v>41.3</v>
      </c>
      <c r="G378" s="8" t="s">
        <v>2118</v>
      </c>
      <c r="H378" t="s">
        <v>1746</v>
      </c>
      <c r="I378">
        <v>16237</v>
      </c>
      <c r="J378">
        <v>6087725</v>
      </c>
      <c r="K378">
        <v>11</v>
      </c>
      <c r="L378">
        <v>25</v>
      </c>
      <c r="M378" t="s">
        <v>226</v>
      </c>
      <c r="N378" s="6" t="s">
        <v>2371</v>
      </c>
      <c r="R378">
        <v>11</v>
      </c>
      <c r="S378">
        <v>25</v>
      </c>
      <c r="T378" t="s">
        <v>1886</v>
      </c>
      <c r="U378" t="s">
        <v>2009</v>
      </c>
      <c r="V378" t="s">
        <v>2024</v>
      </c>
      <c r="W378" t="s">
        <v>2015</v>
      </c>
      <c r="X378" t="s">
        <v>3046</v>
      </c>
    </row>
    <row r="379" spans="1:24" x14ac:dyDescent="0.3">
      <c r="A379" t="s">
        <v>1550</v>
      </c>
      <c r="B379" t="s">
        <v>3807</v>
      </c>
      <c r="D379">
        <v>189.51599999999999</v>
      </c>
      <c r="E379">
        <v>16335</v>
      </c>
      <c r="F379">
        <v>41</v>
      </c>
      <c r="G379" s="8" t="s">
        <v>2119</v>
      </c>
      <c r="H379" t="s">
        <v>3707</v>
      </c>
      <c r="I379">
        <v>16335</v>
      </c>
      <c r="J379">
        <v>6184172</v>
      </c>
      <c r="M379" t="s">
        <v>1691</v>
      </c>
      <c r="N379" s="6" t="s">
        <v>2168</v>
      </c>
      <c r="O379">
        <v>0.5</v>
      </c>
      <c r="P379">
        <v>30</v>
      </c>
      <c r="Q379">
        <v>17</v>
      </c>
      <c r="R379">
        <v>0.5</v>
      </c>
      <c r="S379">
        <v>30</v>
      </c>
      <c r="T379" t="s">
        <v>1886</v>
      </c>
      <c r="U379" t="s">
        <v>2009</v>
      </c>
      <c r="V379" t="s">
        <v>2024</v>
      </c>
      <c r="W379" t="s">
        <v>2015</v>
      </c>
      <c r="X379" t="s">
        <v>3046</v>
      </c>
    </row>
    <row r="380" spans="1:24" x14ac:dyDescent="0.3">
      <c r="A380" t="s">
        <v>1379</v>
      </c>
      <c r="B380" t="s">
        <v>725</v>
      </c>
      <c r="D380">
        <f>AVERAGE(41.997,44.072)</f>
        <v>43.034500000000001</v>
      </c>
      <c r="E380">
        <f>AVERAGE(13792,13785)</f>
        <v>13788.5</v>
      </c>
      <c r="F380">
        <v>49.7</v>
      </c>
      <c r="G380" s="11"/>
      <c r="H380" t="s">
        <v>1746</v>
      </c>
      <c r="I380">
        <v>14143</v>
      </c>
      <c r="J380">
        <v>6505054</v>
      </c>
      <c r="K380">
        <v>13</v>
      </c>
      <c r="L380">
        <v>37</v>
      </c>
      <c r="M380" t="s">
        <v>226</v>
      </c>
      <c r="N380" s="6" t="s">
        <v>2372</v>
      </c>
      <c r="R380">
        <v>13</v>
      </c>
      <c r="S380">
        <v>37</v>
      </c>
      <c r="T380" t="s">
        <v>1887</v>
      </c>
      <c r="U380" t="s">
        <v>2009</v>
      </c>
      <c r="V380" t="s">
        <v>2024</v>
      </c>
      <c r="W380" t="s">
        <v>2016</v>
      </c>
      <c r="X380" t="s">
        <v>2039</v>
      </c>
    </row>
    <row r="381" spans="1:24" x14ac:dyDescent="0.3">
      <c r="A381" t="s">
        <v>1062</v>
      </c>
      <c r="B381" t="s">
        <v>126</v>
      </c>
      <c r="C381" t="s">
        <v>577</v>
      </c>
      <c r="D381">
        <v>39.4223</v>
      </c>
      <c r="E381">
        <v>9849</v>
      </c>
      <c r="F381">
        <v>45.457599999999999</v>
      </c>
      <c r="G381" s="11"/>
      <c r="H381" t="s">
        <v>1746</v>
      </c>
      <c r="I381">
        <v>9830</v>
      </c>
      <c r="J381">
        <v>4847146</v>
      </c>
      <c r="K381">
        <v>0</v>
      </c>
      <c r="L381">
        <v>38</v>
      </c>
      <c r="M381" t="s">
        <v>228</v>
      </c>
      <c r="N381" s="6" t="s">
        <v>2373</v>
      </c>
      <c r="R381">
        <v>0</v>
      </c>
      <c r="S381">
        <v>38</v>
      </c>
      <c r="T381" t="s">
        <v>1888</v>
      </c>
      <c r="U381" t="s">
        <v>2009</v>
      </c>
      <c r="V381" t="s">
        <v>2024</v>
      </c>
      <c r="W381" t="s">
        <v>2016</v>
      </c>
      <c r="X381" t="s">
        <v>2039</v>
      </c>
    </row>
    <row r="382" spans="1:24" x14ac:dyDescent="0.3">
      <c r="A382" t="s">
        <v>1063</v>
      </c>
      <c r="B382" t="s">
        <v>128</v>
      </c>
      <c r="D382">
        <v>38.503999999999998</v>
      </c>
      <c r="E382">
        <v>10891</v>
      </c>
      <c r="F382">
        <v>50.9</v>
      </c>
      <c r="G382" s="11"/>
      <c r="H382" t="s">
        <v>1746</v>
      </c>
      <c r="I382">
        <v>11404</v>
      </c>
      <c r="J382">
        <v>5535669</v>
      </c>
      <c r="K382">
        <v>15</v>
      </c>
      <c r="L382">
        <v>35</v>
      </c>
      <c r="M382" t="s">
        <v>228</v>
      </c>
      <c r="N382" s="6" t="s">
        <v>2374</v>
      </c>
      <c r="Q382" t="s">
        <v>200</v>
      </c>
      <c r="R382">
        <v>15</v>
      </c>
      <c r="S382">
        <v>35</v>
      </c>
      <c r="T382" t="s">
        <v>1888</v>
      </c>
      <c r="U382" t="s">
        <v>2009</v>
      </c>
      <c r="V382" t="s">
        <v>2024</v>
      </c>
      <c r="W382" t="s">
        <v>2016</v>
      </c>
      <c r="X382" t="s">
        <v>2039</v>
      </c>
    </row>
    <row r="383" spans="1:24" x14ac:dyDescent="0.3">
      <c r="A383" t="s">
        <v>1064</v>
      </c>
      <c r="B383" t="s">
        <v>93</v>
      </c>
      <c r="D383">
        <v>37.015999999999998</v>
      </c>
      <c r="E383">
        <v>10689</v>
      </c>
      <c r="F383">
        <v>51.077800000000003</v>
      </c>
      <c r="G383" s="11"/>
      <c r="H383" t="s">
        <v>341</v>
      </c>
      <c r="I383">
        <v>11420</v>
      </c>
      <c r="J383">
        <v>5519145</v>
      </c>
      <c r="K383">
        <v>15</v>
      </c>
      <c r="L383">
        <v>33</v>
      </c>
      <c r="M383" t="s">
        <v>226</v>
      </c>
      <c r="N383" s="6" t="s">
        <v>2375</v>
      </c>
      <c r="R383">
        <v>15</v>
      </c>
      <c r="S383">
        <v>33</v>
      </c>
      <c r="T383" t="s">
        <v>1888</v>
      </c>
      <c r="U383" t="s">
        <v>2009</v>
      </c>
      <c r="V383" t="s">
        <v>2024</v>
      </c>
      <c r="W383" t="s">
        <v>2016</v>
      </c>
      <c r="X383" t="s">
        <v>2039</v>
      </c>
    </row>
    <row r="384" spans="1:24" x14ac:dyDescent="0.3">
      <c r="A384" t="s">
        <v>1356</v>
      </c>
      <c r="B384" t="s">
        <v>707</v>
      </c>
      <c r="D384">
        <v>42.1</v>
      </c>
      <c r="E384">
        <v>11535</v>
      </c>
      <c r="F384">
        <v>51</v>
      </c>
      <c r="G384" s="11"/>
      <c r="H384" t="s">
        <v>1746</v>
      </c>
      <c r="I384">
        <v>11394</v>
      </c>
      <c r="J384">
        <v>5528864</v>
      </c>
      <c r="K384">
        <v>4</v>
      </c>
      <c r="L384">
        <v>37</v>
      </c>
      <c r="M384" t="s">
        <v>227</v>
      </c>
      <c r="N384" s="6" t="s">
        <v>2186</v>
      </c>
      <c r="R384">
        <v>4</v>
      </c>
      <c r="S384">
        <v>37</v>
      </c>
      <c r="T384" t="s">
        <v>1888</v>
      </c>
      <c r="U384" t="s">
        <v>2009</v>
      </c>
      <c r="V384" t="s">
        <v>2024</v>
      </c>
      <c r="W384" t="s">
        <v>2016</v>
      </c>
      <c r="X384" t="s">
        <v>2039</v>
      </c>
    </row>
    <row r="385" spans="1:24" x14ac:dyDescent="0.3">
      <c r="A385" t="s">
        <v>1065</v>
      </c>
      <c r="B385" t="s">
        <v>100</v>
      </c>
      <c r="D385">
        <v>41.655999999999999</v>
      </c>
      <c r="E385">
        <v>11688</v>
      </c>
      <c r="F385">
        <v>51.1</v>
      </c>
      <c r="G385" s="11"/>
      <c r="H385" t="s">
        <v>340</v>
      </c>
      <c r="I385">
        <v>11688</v>
      </c>
      <c r="J385">
        <v>5736702</v>
      </c>
      <c r="K385">
        <v>19</v>
      </c>
      <c r="L385">
        <v>42</v>
      </c>
      <c r="M385" t="s">
        <v>226</v>
      </c>
      <c r="N385" s="6" t="s">
        <v>2376</v>
      </c>
      <c r="R385">
        <v>19</v>
      </c>
      <c r="S385">
        <v>42</v>
      </c>
      <c r="T385" t="s">
        <v>1888</v>
      </c>
      <c r="U385" t="s">
        <v>2009</v>
      </c>
      <c r="V385" t="s">
        <v>2024</v>
      </c>
      <c r="W385" t="s">
        <v>2016</v>
      </c>
      <c r="X385" t="s">
        <v>2039</v>
      </c>
    </row>
    <row r="386" spans="1:24" x14ac:dyDescent="0.3">
      <c r="A386" t="s">
        <v>1357</v>
      </c>
      <c r="B386" t="s">
        <v>708</v>
      </c>
      <c r="D386">
        <v>16.100000000000001</v>
      </c>
      <c r="E386">
        <v>6090</v>
      </c>
      <c r="F386">
        <v>48</v>
      </c>
      <c r="G386" s="11"/>
      <c r="H386" t="s">
        <v>1746</v>
      </c>
      <c r="I386">
        <v>4707</v>
      </c>
      <c r="J386">
        <v>2058784</v>
      </c>
      <c r="K386">
        <v>0</v>
      </c>
      <c r="L386">
        <v>30</v>
      </c>
      <c r="M386" t="s">
        <v>227</v>
      </c>
      <c r="N386" s="6" t="s">
        <v>2377</v>
      </c>
      <c r="R386">
        <v>0</v>
      </c>
      <c r="S386">
        <v>30</v>
      </c>
      <c r="T386" t="s">
        <v>1889</v>
      </c>
      <c r="U386" t="s">
        <v>2009</v>
      </c>
      <c r="V386" t="s">
        <v>2024</v>
      </c>
      <c r="W386" t="s">
        <v>2016</v>
      </c>
      <c r="X386" t="s">
        <v>3045</v>
      </c>
    </row>
    <row r="387" spans="1:24" x14ac:dyDescent="0.3">
      <c r="A387" t="s">
        <v>1066</v>
      </c>
      <c r="B387" t="s">
        <v>500</v>
      </c>
      <c r="D387">
        <v>17.268000000000001</v>
      </c>
      <c r="F387">
        <v>46.2</v>
      </c>
      <c r="G387" s="11"/>
      <c r="H387" t="s">
        <v>383</v>
      </c>
      <c r="I387" t="s">
        <v>383</v>
      </c>
      <c r="J387" t="s">
        <v>383</v>
      </c>
      <c r="K387">
        <v>4</v>
      </c>
      <c r="L387">
        <v>40</v>
      </c>
      <c r="M387" t="s">
        <v>227</v>
      </c>
      <c r="N387" s="6" t="s">
        <v>2234</v>
      </c>
      <c r="R387">
        <v>4</v>
      </c>
      <c r="S387">
        <v>40</v>
      </c>
      <c r="T387" t="s">
        <v>1889</v>
      </c>
      <c r="U387" t="s">
        <v>2009</v>
      </c>
      <c r="V387" t="s">
        <v>2024</v>
      </c>
      <c r="W387" t="s">
        <v>2016</v>
      </c>
      <c r="X387" t="s">
        <v>3045</v>
      </c>
    </row>
    <row r="388" spans="1:24" x14ac:dyDescent="0.3">
      <c r="A388" t="s">
        <v>1067</v>
      </c>
      <c r="B388" t="s">
        <v>501</v>
      </c>
      <c r="D388">
        <v>28.064599999999999</v>
      </c>
      <c r="F388">
        <v>44.8</v>
      </c>
      <c r="G388" s="11"/>
      <c r="H388" t="s">
        <v>383</v>
      </c>
      <c r="I388" t="s">
        <v>383</v>
      </c>
      <c r="J388" t="s">
        <v>383</v>
      </c>
      <c r="K388">
        <v>4</v>
      </c>
      <c r="L388">
        <v>35</v>
      </c>
      <c r="M388" t="s">
        <v>227</v>
      </c>
      <c r="N388" s="6" t="s">
        <v>2234</v>
      </c>
      <c r="R388">
        <v>4</v>
      </c>
      <c r="S388">
        <v>35</v>
      </c>
      <c r="T388" t="s">
        <v>1889</v>
      </c>
      <c r="U388" t="s">
        <v>2009</v>
      </c>
      <c r="V388" t="s">
        <v>2024</v>
      </c>
      <c r="W388" t="s">
        <v>2016</v>
      </c>
      <c r="X388" t="s">
        <v>3045</v>
      </c>
    </row>
    <row r="389" spans="1:24" x14ac:dyDescent="0.3">
      <c r="A389" t="s">
        <v>1068</v>
      </c>
      <c r="B389" t="s">
        <v>502</v>
      </c>
      <c r="D389">
        <v>16.3856</v>
      </c>
      <c r="F389">
        <v>48.7</v>
      </c>
      <c r="G389" s="11"/>
      <c r="H389" t="s">
        <v>383</v>
      </c>
      <c r="I389" t="s">
        <v>383</v>
      </c>
      <c r="J389" t="s">
        <v>383</v>
      </c>
      <c r="K389">
        <v>4</v>
      </c>
      <c r="L389">
        <v>35</v>
      </c>
      <c r="M389" t="s">
        <v>227</v>
      </c>
      <c r="N389" s="6" t="s">
        <v>2234</v>
      </c>
      <c r="R389">
        <v>4</v>
      </c>
      <c r="S389">
        <v>35</v>
      </c>
      <c r="T389" t="s">
        <v>1889</v>
      </c>
      <c r="U389" t="s">
        <v>2009</v>
      </c>
      <c r="V389" t="s">
        <v>2024</v>
      </c>
      <c r="W389" t="s">
        <v>2016</v>
      </c>
      <c r="X389" t="s">
        <v>3045</v>
      </c>
    </row>
    <row r="390" spans="1:24" x14ac:dyDescent="0.3">
      <c r="A390" t="s">
        <v>1069</v>
      </c>
      <c r="B390" t="s">
        <v>174</v>
      </c>
      <c r="D390">
        <v>24.481999999999999</v>
      </c>
      <c r="E390">
        <v>7362</v>
      </c>
      <c r="F390">
        <v>45.85</v>
      </c>
      <c r="G390" s="8" t="s">
        <v>2120</v>
      </c>
      <c r="H390" t="s">
        <v>3707</v>
      </c>
      <c r="I390">
        <v>7362</v>
      </c>
      <c r="J390">
        <v>2879184</v>
      </c>
      <c r="K390">
        <v>4</v>
      </c>
      <c r="L390">
        <v>35</v>
      </c>
      <c r="M390" t="s">
        <v>227</v>
      </c>
      <c r="N390" s="6" t="s">
        <v>2378</v>
      </c>
      <c r="R390">
        <v>4</v>
      </c>
      <c r="S390">
        <v>35</v>
      </c>
      <c r="T390" t="s">
        <v>1889</v>
      </c>
      <c r="U390" t="s">
        <v>2009</v>
      </c>
      <c r="V390" t="s">
        <v>2024</v>
      </c>
      <c r="W390" t="s">
        <v>2016</v>
      </c>
      <c r="X390" t="s">
        <v>3045</v>
      </c>
    </row>
    <row r="391" spans="1:24" x14ac:dyDescent="0.3">
      <c r="A391" t="s">
        <v>1070</v>
      </c>
      <c r="B391" t="s">
        <v>503</v>
      </c>
      <c r="D391">
        <v>38.813000000000002</v>
      </c>
      <c r="E391">
        <v>7148</v>
      </c>
      <c r="F391">
        <v>42.5</v>
      </c>
      <c r="G391" s="11"/>
      <c r="H391" t="s">
        <v>3707</v>
      </c>
      <c r="I391">
        <v>7148</v>
      </c>
      <c r="J391">
        <v>3286203</v>
      </c>
      <c r="K391">
        <v>8</v>
      </c>
      <c r="L391">
        <v>30</v>
      </c>
      <c r="M391" t="s">
        <v>227</v>
      </c>
      <c r="N391" s="6" t="s">
        <v>2234</v>
      </c>
      <c r="R391">
        <v>8</v>
      </c>
      <c r="S391">
        <v>30</v>
      </c>
      <c r="T391" t="s">
        <v>1889</v>
      </c>
      <c r="U391" t="s">
        <v>2009</v>
      </c>
      <c r="V391" t="s">
        <v>2024</v>
      </c>
      <c r="W391" t="s">
        <v>2016</v>
      </c>
      <c r="X391" t="s">
        <v>3045</v>
      </c>
    </row>
    <row r="392" spans="1:24" x14ac:dyDescent="0.3">
      <c r="A392" t="s">
        <v>504</v>
      </c>
      <c r="B392" t="s">
        <v>504</v>
      </c>
      <c r="D392">
        <v>29.263999999999999</v>
      </c>
      <c r="E392">
        <v>6234</v>
      </c>
      <c r="F392">
        <v>41.7</v>
      </c>
      <c r="G392" s="11"/>
      <c r="H392" t="s">
        <v>3707</v>
      </c>
      <c r="I392">
        <v>6234</v>
      </c>
      <c r="J392">
        <v>2978639</v>
      </c>
      <c r="K392">
        <v>21</v>
      </c>
      <c r="L392">
        <v>35</v>
      </c>
      <c r="M392" t="s">
        <v>227</v>
      </c>
      <c r="N392" s="6" t="s">
        <v>2234</v>
      </c>
      <c r="R392">
        <v>21</v>
      </c>
      <c r="S392">
        <v>35</v>
      </c>
      <c r="T392" t="s">
        <v>1889</v>
      </c>
      <c r="U392" t="s">
        <v>2009</v>
      </c>
      <c r="V392" t="s">
        <v>2024</v>
      </c>
      <c r="W392" t="s">
        <v>2016</v>
      </c>
      <c r="X392" t="s">
        <v>3045</v>
      </c>
    </row>
    <row r="393" spans="1:24" x14ac:dyDescent="0.3">
      <c r="A393" t="s">
        <v>1071</v>
      </c>
      <c r="B393" t="s">
        <v>505</v>
      </c>
      <c r="D393">
        <v>14.222200000000001</v>
      </c>
      <c r="F393">
        <v>48.9</v>
      </c>
      <c r="G393" s="11"/>
      <c r="H393" t="s">
        <v>383</v>
      </c>
      <c r="I393" t="s">
        <v>383</v>
      </c>
      <c r="J393" t="s">
        <v>383</v>
      </c>
      <c r="K393">
        <v>0</v>
      </c>
      <c r="L393">
        <v>35</v>
      </c>
      <c r="M393" t="s">
        <v>227</v>
      </c>
      <c r="N393" s="6" t="s">
        <v>2234</v>
      </c>
      <c r="R393">
        <v>0</v>
      </c>
      <c r="S393">
        <v>35</v>
      </c>
      <c r="T393" t="s">
        <v>1889</v>
      </c>
      <c r="U393" t="s">
        <v>2009</v>
      </c>
      <c r="V393" t="s">
        <v>2024</v>
      </c>
      <c r="W393" t="s">
        <v>2016</v>
      </c>
      <c r="X393" t="s">
        <v>3045</v>
      </c>
    </row>
    <row r="394" spans="1:24" x14ac:dyDescent="0.3">
      <c r="A394" t="s">
        <v>566</v>
      </c>
      <c r="B394" t="s">
        <v>566</v>
      </c>
      <c r="D394">
        <v>16.472999999999999</v>
      </c>
      <c r="E394">
        <v>7029</v>
      </c>
      <c r="F394">
        <v>45.9</v>
      </c>
      <c r="G394" s="8" t="s">
        <v>2121</v>
      </c>
      <c r="H394" t="s">
        <v>383</v>
      </c>
      <c r="I394" t="s">
        <v>383</v>
      </c>
      <c r="J394" t="s">
        <v>383</v>
      </c>
      <c r="K394">
        <v>4</v>
      </c>
      <c r="L394">
        <v>45</v>
      </c>
      <c r="M394" t="s">
        <v>227</v>
      </c>
      <c r="N394" s="6" t="s">
        <v>2378</v>
      </c>
      <c r="R394">
        <v>4</v>
      </c>
      <c r="S394">
        <v>45</v>
      </c>
      <c r="T394" t="s">
        <v>1889</v>
      </c>
      <c r="U394" t="s">
        <v>2009</v>
      </c>
      <c r="V394" t="s">
        <v>2024</v>
      </c>
      <c r="W394" t="s">
        <v>2016</v>
      </c>
      <c r="X394" t="s">
        <v>3045</v>
      </c>
    </row>
    <row r="395" spans="1:24" x14ac:dyDescent="0.3">
      <c r="A395" t="s">
        <v>914</v>
      </c>
      <c r="B395" t="s">
        <v>473</v>
      </c>
      <c r="C395" t="s">
        <v>474</v>
      </c>
      <c r="D395">
        <v>21.5091</v>
      </c>
      <c r="F395">
        <v>44.7</v>
      </c>
      <c r="G395" s="11"/>
      <c r="H395" t="s">
        <v>383</v>
      </c>
      <c r="I395" t="s">
        <v>383</v>
      </c>
      <c r="J395" t="s">
        <v>383</v>
      </c>
      <c r="K395">
        <v>4</v>
      </c>
      <c r="L395">
        <v>35</v>
      </c>
      <c r="M395" t="s">
        <v>227</v>
      </c>
      <c r="N395" s="6" t="s">
        <v>2234</v>
      </c>
      <c r="R395">
        <v>4</v>
      </c>
      <c r="S395">
        <v>35</v>
      </c>
      <c r="T395" t="s">
        <v>1889</v>
      </c>
      <c r="U395" t="s">
        <v>2009</v>
      </c>
      <c r="V395" t="s">
        <v>2024</v>
      </c>
      <c r="W395" t="s">
        <v>2016</v>
      </c>
      <c r="X395" t="s">
        <v>3045</v>
      </c>
    </row>
    <row r="396" spans="1:24" x14ac:dyDescent="0.3">
      <c r="A396" t="s">
        <v>915</v>
      </c>
      <c r="B396" t="s">
        <v>475</v>
      </c>
      <c r="C396" t="s">
        <v>476</v>
      </c>
      <c r="D396">
        <v>18.520099999999999</v>
      </c>
      <c r="F396">
        <v>44.7</v>
      </c>
      <c r="G396" s="11"/>
      <c r="H396" t="s">
        <v>383</v>
      </c>
      <c r="I396" t="s">
        <v>383</v>
      </c>
      <c r="J396" t="s">
        <v>383</v>
      </c>
      <c r="K396">
        <v>12</v>
      </c>
      <c r="L396">
        <v>35</v>
      </c>
      <c r="M396" t="s">
        <v>227</v>
      </c>
      <c r="N396" s="6" t="s">
        <v>2234</v>
      </c>
      <c r="R396">
        <v>12</v>
      </c>
      <c r="S396">
        <v>35</v>
      </c>
      <c r="T396" t="s">
        <v>1889</v>
      </c>
      <c r="U396" t="s">
        <v>2009</v>
      </c>
      <c r="V396" t="s">
        <v>2024</v>
      </c>
      <c r="W396" t="s">
        <v>2016</v>
      </c>
      <c r="X396" t="s">
        <v>3045</v>
      </c>
    </row>
    <row r="397" spans="1:24" x14ac:dyDescent="0.3">
      <c r="A397" t="s">
        <v>1358</v>
      </c>
      <c r="B397" t="s">
        <v>709</v>
      </c>
      <c r="C397" t="s">
        <v>802</v>
      </c>
      <c r="D397">
        <v>21.177</v>
      </c>
      <c r="E397">
        <f>AVERAGE(5885,6130)</f>
        <v>6007.5</v>
      </c>
      <c r="F397">
        <v>45.91</v>
      </c>
      <c r="G397" s="11"/>
      <c r="H397" t="s">
        <v>1746</v>
      </c>
      <c r="I397">
        <v>6907</v>
      </c>
      <c r="J397">
        <v>2827386</v>
      </c>
      <c r="K397">
        <v>6</v>
      </c>
      <c r="L397">
        <v>30</v>
      </c>
      <c r="M397" t="s">
        <v>227</v>
      </c>
      <c r="N397" s="6" t="s">
        <v>2379</v>
      </c>
      <c r="Q397" t="s">
        <v>803</v>
      </c>
      <c r="R397">
        <v>6</v>
      </c>
      <c r="S397">
        <v>30</v>
      </c>
      <c r="T397" t="s">
        <v>1889</v>
      </c>
      <c r="U397" t="s">
        <v>2009</v>
      </c>
      <c r="V397" t="s">
        <v>2024</v>
      </c>
      <c r="W397" t="s">
        <v>2016</v>
      </c>
      <c r="X397" t="s">
        <v>3045</v>
      </c>
    </row>
    <row r="398" spans="1:24" x14ac:dyDescent="0.3">
      <c r="A398" t="s">
        <v>1072</v>
      </c>
      <c r="B398" t="s">
        <v>506</v>
      </c>
      <c r="D398">
        <v>17.467300000000002</v>
      </c>
      <c r="F398">
        <v>48.7</v>
      </c>
      <c r="G398" s="11"/>
      <c r="H398" t="s">
        <v>383</v>
      </c>
      <c r="I398" t="s">
        <v>383</v>
      </c>
      <c r="J398" t="s">
        <v>383</v>
      </c>
      <c r="K398">
        <v>4</v>
      </c>
      <c r="L398">
        <v>35</v>
      </c>
      <c r="M398" t="s">
        <v>227</v>
      </c>
      <c r="N398" s="6" t="s">
        <v>2234</v>
      </c>
      <c r="R398">
        <v>4</v>
      </c>
      <c r="S398">
        <v>35</v>
      </c>
      <c r="T398" t="s">
        <v>1889</v>
      </c>
      <c r="U398" t="s">
        <v>2009</v>
      </c>
      <c r="V398" t="s">
        <v>2024</v>
      </c>
      <c r="W398" t="s">
        <v>2016</v>
      </c>
      <c r="X398" t="s">
        <v>3045</v>
      </c>
    </row>
    <row r="399" spans="1:24" x14ac:dyDescent="0.3">
      <c r="A399" t="s">
        <v>899</v>
      </c>
      <c r="B399" t="s">
        <v>451</v>
      </c>
      <c r="C399" t="s">
        <v>452</v>
      </c>
      <c r="D399">
        <v>10.286300000000001</v>
      </c>
      <c r="F399">
        <v>42.4</v>
      </c>
      <c r="G399" s="11"/>
      <c r="H399" t="s">
        <v>383</v>
      </c>
      <c r="I399" t="s">
        <v>383</v>
      </c>
      <c r="J399" t="s">
        <v>383</v>
      </c>
      <c r="K399">
        <v>0</v>
      </c>
      <c r="L399">
        <v>40</v>
      </c>
      <c r="M399" t="s">
        <v>227</v>
      </c>
      <c r="N399" s="6" t="s">
        <v>2234</v>
      </c>
      <c r="R399">
        <v>0</v>
      </c>
      <c r="S399">
        <v>40</v>
      </c>
      <c r="T399" t="s">
        <v>1890</v>
      </c>
      <c r="U399" t="s">
        <v>2009</v>
      </c>
      <c r="V399" t="s">
        <v>2024</v>
      </c>
      <c r="W399" t="s">
        <v>2016</v>
      </c>
      <c r="X399" t="s">
        <v>3045</v>
      </c>
    </row>
    <row r="400" spans="1:24" x14ac:dyDescent="0.3">
      <c r="A400" t="s">
        <v>1073</v>
      </c>
      <c r="B400" t="s">
        <v>162</v>
      </c>
      <c r="C400" t="s">
        <v>522</v>
      </c>
      <c r="D400">
        <v>10.609</v>
      </c>
      <c r="E400">
        <v>5920</v>
      </c>
      <c r="F400">
        <v>43.7</v>
      </c>
      <c r="G400" s="11"/>
      <c r="H400" t="s">
        <v>1746</v>
      </c>
      <c r="I400">
        <v>5919</v>
      </c>
      <c r="J400">
        <v>2761741</v>
      </c>
      <c r="K400">
        <v>15</v>
      </c>
      <c r="L400">
        <v>47</v>
      </c>
      <c r="M400" t="s">
        <v>226</v>
      </c>
      <c r="N400" s="6" t="s">
        <v>2380</v>
      </c>
      <c r="R400">
        <v>15</v>
      </c>
      <c r="S400">
        <v>47</v>
      </c>
      <c r="T400" t="s">
        <v>1890</v>
      </c>
      <c r="U400" t="s">
        <v>2009</v>
      </c>
      <c r="V400" t="s">
        <v>2024</v>
      </c>
      <c r="W400" t="s">
        <v>2016</v>
      </c>
      <c r="X400" t="s">
        <v>3045</v>
      </c>
    </row>
    <row r="401" spans="1:24" x14ac:dyDescent="0.3">
      <c r="A401" t="s">
        <v>1359</v>
      </c>
      <c r="B401" t="s">
        <v>710</v>
      </c>
      <c r="D401">
        <v>38.799999999999997</v>
      </c>
      <c r="E401">
        <v>13338</v>
      </c>
      <c r="F401">
        <v>57</v>
      </c>
      <c r="G401" s="11"/>
      <c r="H401" t="s">
        <v>1746</v>
      </c>
      <c r="I401">
        <v>13164</v>
      </c>
      <c r="J401">
        <v>5816858</v>
      </c>
      <c r="K401">
        <v>4</v>
      </c>
      <c r="L401">
        <v>34</v>
      </c>
      <c r="M401" t="s">
        <v>226</v>
      </c>
      <c r="N401" s="6" t="s">
        <v>2381</v>
      </c>
      <c r="R401">
        <v>4</v>
      </c>
      <c r="S401">
        <v>34</v>
      </c>
      <c r="T401" t="s">
        <v>647</v>
      </c>
      <c r="U401" t="s">
        <v>2009</v>
      </c>
      <c r="V401" t="s">
        <v>2024</v>
      </c>
      <c r="W401" t="s">
        <v>2016</v>
      </c>
      <c r="X401" t="s">
        <v>2039</v>
      </c>
    </row>
    <row r="402" spans="1:24" x14ac:dyDescent="0.3">
      <c r="A402" t="s">
        <v>1299</v>
      </c>
      <c r="B402" t="s">
        <v>804</v>
      </c>
      <c r="D402">
        <v>37</v>
      </c>
      <c r="E402">
        <v>11963</v>
      </c>
      <c r="F402">
        <v>55</v>
      </c>
      <c r="G402" s="11"/>
      <c r="H402" t="s">
        <v>340</v>
      </c>
      <c r="I402">
        <v>11788</v>
      </c>
      <c r="J402">
        <v>5766269</v>
      </c>
      <c r="K402">
        <v>0</v>
      </c>
      <c r="L402">
        <v>28</v>
      </c>
      <c r="M402" t="s">
        <v>228</v>
      </c>
      <c r="N402" s="6" t="s">
        <v>2381</v>
      </c>
      <c r="O402">
        <v>0</v>
      </c>
      <c r="P402">
        <v>32</v>
      </c>
      <c r="Q402">
        <v>11</v>
      </c>
      <c r="R402">
        <v>0</v>
      </c>
      <c r="S402">
        <v>32</v>
      </c>
      <c r="T402" t="s">
        <v>647</v>
      </c>
      <c r="U402" t="s">
        <v>2009</v>
      </c>
      <c r="V402" t="s">
        <v>2024</v>
      </c>
      <c r="W402" t="s">
        <v>2016</v>
      </c>
      <c r="X402" t="s">
        <v>2039</v>
      </c>
    </row>
    <row r="403" spans="1:24" x14ac:dyDescent="0.3">
      <c r="A403" t="s">
        <v>1074</v>
      </c>
      <c r="B403" t="s">
        <v>63</v>
      </c>
      <c r="D403">
        <v>23.241</v>
      </c>
      <c r="E403">
        <v>8915</v>
      </c>
      <c r="F403">
        <v>47.3</v>
      </c>
      <c r="G403" s="11"/>
      <c r="H403" t="s">
        <v>340</v>
      </c>
      <c r="I403">
        <v>8765</v>
      </c>
      <c r="J403">
        <v>4258838</v>
      </c>
      <c r="K403">
        <v>18</v>
      </c>
      <c r="L403">
        <v>38</v>
      </c>
      <c r="M403" t="s">
        <v>226</v>
      </c>
      <c r="N403" s="6" t="s">
        <v>2382</v>
      </c>
      <c r="Q403" t="s">
        <v>763</v>
      </c>
      <c r="R403">
        <v>18</v>
      </c>
      <c r="S403">
        <v>38</v>
      </c>
      <c r="T403" t="s">
        <v>1891</v>
      </c>
      <c r="U403" t="s">
        <v>2009</v>
      </c>
      <c r="V403" t="s">
        <v>2024</v>
      </c>
      <c r="W403" t="s">
        <v>2016</v>
      </c>
      <c r="X403" t="s">
        <v>2039</v>
      </c>
    </row>
    <row r="404" spans="1:24" x14ac:dyDescent="0.3">
      <c r="A404" t="s">
        <v>1075</v>
      </c>
      <c r="B404" t="s">
        <v>143</v>
      </c>
      <c r="C404" t="s">
        <v>755</v>
      </c>
      <c r="D404">
        <v>21.255500000000001</v>
      </c>
      <c r="E404">
        <v>10910</v>
      </c>
      <c r="F404">
        <v>41.1</v>
      </c>
      <c r="G404" s="8" t="s">
        <v>2122</v>
      </c>
      <c r="H404" t="s">
        <v>1746</v>
      </c>
      <c r="I404">
        <v>8851</v>
      </c>
      <c r="J404">
        <v>4358694</v>
      </c>
      <c r="K404">
        <v>25</v>
      </c>
      <c r="L404">
        <v>53</v>
      </c>
      <c r="M404" t="s">
        <v>228</v>
      </c>
      <c r="N404" s="6" t="s">
        <v>2383</v>
      </c>
      <c r="R404">
        <v>25</v>
      </c>
      <c r="S404">
        <v>53</v>
      </c>
      <c r="T404" t="s">
        <v>1892</v>
      </c>
      <c r="U404" t="s">
        <v>2009</v>
      </c>
      <c r="V404" t="s">
        <v>2024</v>
      </c>
      <c r="W404" t="s">
        <v>2016</v>
      </c>
      <c r="X404" t="s">
        <v>3045</v>
      </c>
    </row>
    <row r="405" spans="1:24" x14ac:dyDescent="0.3">
      <c r="A405" t="s">
        <v>1360</v>
      </c>
      <c r="B405" t="s">
        <v>711</v>
      </c>
      <c r="D405">
        <v>30.815999999999999</v>
      </c>
      <c r="E405">
        <v>8461</v>
      </c>
      <c r="F405">
        <v>54</v>
      </c>
      <c r="G405" s="11"/>
      <c r="H405" t="s">
        <v>1746</v>
      </c>
      <c r="I405">
        <v>8458</v>
      </c>
      <c r="J405">
        <v>4278114</v>
      </c>
      <c r="K405">
        <v>14</v>
      </c>
      <c r="L405">
        <v>31</v>
      </c>
      <c r="M405" t="s">
        <v>226</v>
      </c>
      <c r="N405" s="6" t="s">
        <v>2384</v>
      </c>
      <c r="R405">
        <v>14</v>
      </c>
      <c r="S405">
        <v>31</v>
      </c>
      <c r="T405" t="s">
        <v>1893</v>
      </c>
      <c r="U405" t="s">
        <v>2009</v>
      </c>
      <c r="V405" t="s">
        <v>2024</v>
      </c>
      <c r="W405" t="s">
        <v>2016</v>
      </c>
      <c r="X405" t="s">
        <v>2039</v>
      </c>
    </row>
    <row r="406" spans="1:24" x14ac:dyDescent="0.3">
      <c r="A406" t="s">
        <v>1361</v>
      </c>
      <c r="B406" t="s">
        <v>712</v>
      </c>
      <c r="D406">
        <v>24.5</v>
      </c>
      <c r="E406">
        <v>9270</v>
      </c>
      <c r="F406">
        <v>49</v>
      </c>
      <c r="G406" s="11"/>
      <c r="H406" t="s">
        <v>1746</v>
      </c>
      <c r="I406">
        <v>8080</v>
      </c>
      <c r="J406">
        <v>4068950</v>
      </c>
      <c r="K406">
        <v>18</v>
      </c>
      <c r="L406">
        <v>46</v>
      </c>
      <c r="M406" t="s">
        <v>228</v>
      </c>
      <c r="N406" s="6" t="s">
        <v>2385</v>
      </c>
      <c r="R406">
        <v>18</v>
      </c>
      <c r="S406">
        <v>46</v>
      </c>
      <c r="T406" t="s">
        <v>2028</v>
      </c>
      <c r="U406" t="s">
        <v>2009</v>
      </c>
      <c r="V406" t="s">
        <v>2024</v>
      </c>
      <c r="W406" t="s">
        <v>2016</v>
      </c>
      <c r="X406" t="s">
        <v>2039</v>
      </c>
    </row>
    <row r="407" spans="1:24" x14ac:dyDescent="0.3">
      <c r="A407" t="s">
        <v>1279</v>
      </c>
      <c r="B407" t="s">
        <v>786</v>
      </c>
      <c r="D407">
        <v>24.797999999999998</v>
      </c>
      <c r="E407">
        <v>9650</v>
      </c>
      <c r="F407">
        <v>49</v>
      </c>
      <c r="G407" s="11"/>
      <c r="H407" t="s">
        <v>3707</v>
      </c>
      <c r="I407">
        <v>9650</v>
      </c>
      <c r="J407">
        <v>4369462</v>
      </c>
      <c r="K407">
        <v>17</v>
      </c>
      <c r="L407">
        <v>44</v>
      </c>
      <c r="M407" t="s">
        <v>227</v>
      </c>
      <c r="N407" s="6" t="s">
        <v>2329</v>
      </c>
      <c r="R407">
        <v>17</v>
      </c>
      <c r="S407">
        <v>44</v>
      </c>
      <c r="T407" t="s">
        <v>1894</v>
      </c>
      <c r="U407" t="s">
        <v>2009</v>
      </c>
      <c r="V407" t="s">
        <v>2024</v>
      </c>
      <c r="W407" t="s">
        <v>2016</v>
      </c>
      <c r="X407" t="s">
        <v>2039</v>
      </c>
    </row>
    <row r="408" spans="1:24" x14ac:dyDescent="0.3">
      <c r="A408" t="s">
        <v>1362</v>
      </c>
      <c r="B408" t="s">
        <v>713</v>
      </c>
      <c r="D408">
        <v>44</v>
      </c>
      <c r="E408">
        <v>12118</v>
      </c>
      <c r="F408">
        <v>41</v>
      </c>
      <c r="G408" s="11"/>
      <c r="H408" t="s">
        <v>1746</v>
      </c>
      <c r="I408">
        <v>12118</v>
      </c>
      <c r="J408">
        <v>4949066</v>
      </c>
      <c r="K408">
        <v>11</v>
      </c>
      <c r="L408">
        <v>32</v>
      </c>
      <c r="M408" t="s">
        <v>226</v>
      </c>
      <c r="N408" s="6" t="s">
        <v>2386</v>
      </c>
      <c r="O408">
        <v>0</v>
      </c>
      <c r="P408">
        <v>33</v>
      </c>
      <c r="Q408">
        <v>9</v>
      </c>
      <c r="R408">
        <v>0</v>
      </c>
      <c r="S408">
        <v>33</v>
      </c>
      <c r="T408" t="s">
        <v>648</v>
      </c>
      <c r="U408" t="s">
        <v>2009</v>
      </c>
      <c r="V408" t="s">
        <v>2024</v>
      </c>
      <c r="W408" t="s">
        <v>2016</v>
      </c>
      <c r="X408" t="s">
        <v>2039</v>
      </c>
    </row>
    <row r="409" spans="1:24" x14ac:dyDescent="0.3">
      <c r="A409" t="s">
        <v>1363</v>
      </c>
      <c r="B409" t="s">
        <v>3808</v>
      </c>
      <c r="D409">
        <v>43.1</v>
      </c>
      <c r="E409">
        <v>10502</v>
      </c>
      <c r="F409">
        <v>42</v>
      </c>
      <c r="G409" s="11"/>
      <c r="H409" t="s">
        <v>1746</v>
      </c>
      <c r="I409">
        <v>10442</v>
      </c>
      <c r="J409">
        <v>4201613</v>
      </c>
      <c r="M409" t="s">
        <v>1691</v>
      </c>
      <c r="N409" s="6" t="s">
        <v>2168</v>
      </c>
      <c r="O409">
        <v>0</v>
      </c>
      <c r="P409">
        <v>35</v>
      </c>
      <c r="Q409">
        <v>19</v>
      </c>
      <c r="R409">
        <v>0</v>
      </c>
      <c r="S409">
        <v>35</v>
      </c>
      <c r="T409" t="s">
        <v>648</v>
      </c>
      <c r="U409" t="s">
        <v>2009</v>
      </c>
      <c r="V409" t="s">
        <v>2024</v>
      </c>
      <c r="W409" t="s">
        <v>2016</v>
      </c>
      <c r="X409" t="s">
        <v>2039</v>
      </c>
    </row>
    <row r="410" spans="1:24" x14ac:dyDescent="0.3">
      <c r="A410" t="s">
        <v>1364</v>
      </c>
      <c r="B410" t="s">
        <v>714</v>
      </c>
      <c r="D410">
        <v>42.8</v>
      </c>
      <c r="E410">
        <v>11163</v>
      </c>
      <c r="F410">
        <v>40</v>
      </c>
      <c r="G410" s="11"/>
      <c r="H410" t="s">
        <v>1746</v>
      </c>
      <c r="I410">
        <v>11157</v>
      </c>
      <c r="J410">
        <v>5086874</v>
      </c>
      <c r="K410">
        <v>12</v>
      </c>
      <c r="L410">
        <v>32</v>
      </c>
      <c r="M410" t="s">
        <v>226</v>
      </c>
      <c r="N410" s="6" t="s">
        <v>2386</v>
      </c>
      <c r="O410">
        <v>0</v>
      </c>
      <c r="P410">
        <v>33</v>
      </c>
      <c r="Q410">
        <v>11</v>
      </c>
      <c r="R410">
        <v>0</v>
      </c>
      <c r="S410">
        <v>33</v>
      </c>
      <c r="T410" t="s">
        <v>648</v>
      </c>
      <c r="U410" t="s">
        <v>2009</v>
      </c>
      <c r="V410" t="s">
        <v>2024</v>
      </c>
      <c r="W410" t="s">
        <v>2016</v>
      </c>
      <c r="X410" t="s">
        <v>2039</v>
      </c>
    </row>
    <row r="411" spans="1:24" x14ac:dyDescent="0.3">
      <c r="A411" t="s">
        <v>1076</v>
      </c>
      <c r="B411" t="s">
        <v>121</v>
      </c>
      <c r="D411">
        <v>52.058</v>
      </c>
      <c r="E411">
        <v>15415</v>
      </c>
      <c r="F411">
        <v>46.55</v>
      </c>
      <c r="G411" s="11"/>
      <c r="H411" t="s">
        <v>1746</v>
      </c>
      <c r="I411">
        <v>19789</v>
      </c>
      <c r="J411">
        <v>7744644</v>
      </c>
      <c r="K411">
        <v>15</v>
      </c>
      <c r="L411">
        <v>33</v>
      </c>
      <c r="M411" t="s">
        <v>226</v>
      </c>
      <c r="N411" s="6" t="s">
        <v>2387</v>
      </c>
      <c r="R411">
        <v>15</v>
      </c>
      <c r="S411">
        <v>33</v>
      </c>
      <c r="T411" t="s">
        <v>1895</v>
      </c>
      <c r="U411" t="s">
        <v>2009</v>
      </c>
      <c r="V411" t="s">
        <v>2024</v>
      </c>
      <c r="W411" t="s">
        <v>2015</v>
      </c>
      <c r="X411" t="s">
        <v>3039</v>
      </c>
    </row>
    <row r="412" spans="1:24" x14ac:dyDescent="0.3">
      <c r="A412" t="s">
        <v>1077</v>
      </c>
      <c r="B412" t="s">
        <v>380</v>
      </c>
      <c r="D412">
        <v>50.319400000000002</v>
      </c>
      <c r="E412">
        <v>11593</v>
      </c>
      <c r="F412">
        <v>47.05</v>
      </c>
      <c r="G412" s="11"/>
      <c r="H412" t="s">
        <v>1746</v>
      </c>
      <c r="I412">
        <v>11577</v>
      </c>
      <c r="J412">
        <v>4742101</v>
      </c>
      <c r="K412">
        <v>5</v>
      </c>
      <c r="L412">
        <v>32</v>
      </c>
      <c r="M412" t="s">
        <v>227</v>
      </c>
      <c r="N412" s="6" t="s">
        <v>2388</v>
      </c>
      <c r="R412">
        <v>5</v>
      </c>
      <c r="S412">
        <v>32</v>
      </c>
      <c r="T412" t="s">
        <v>1896</v>
      </c>
      <c r="U412" t="s">
        <v>2009</v>
      </c>
      <c r="V412" t="s">
        <v>2024</v>
      </c>
      <c r="W412" t="s">
        <v>2016</v>
      </c>
      <c r="X412" t="s">
        <v>2039</v>
      </c>
    </row>
    <row r="413" spans="1:24" x14ac:dyDescent="0.3">
      <c r="A413" t="s">
        <v>1078</v>
      </c>
      <c r="B413" t="s">
        <v>321</v>
      </c>
      <c r="D413">
        <v>47.575000000000003</v>
      </c>
      <c r="E413">
        <v>11510</v>
      </c>
      <c r="F413">
        <v>46</v>
      </c>
      <c r="G413" s="11"/>
      <c r="H413" t="s">
        <v>3707</v>
      </c>
      <c r="I413">
        <v>11510</v>
      </c>
      <c r="J413">
        <v>5056782</v>
      </c>
      <c r="K413">
        <v>7</v>
      </c>
      <c r="L413">
        <v>31</v>
      </c>
      <c r="M413" t="s">
        <v>226</v>
      </c>
      <c r="N413" s="6" t="s">
        <v>2389</v>
      </c>
      <c r="R413">
        <v>7</v>
      </c>
      <c r="S413">
        <v>31</v>
      </c>
      <c r="T413" t="s">
        <v>1897</v>
      </c>
      <c r="U413" t="s">
        <v>2009</v>
      </c>
      <c r="V413" t="s">
        <v>2024</v>
      </c>
      <c r="W413" t="s">
        <v>2016</v>
      </c>
      <c r="X413" t="s">
        <v>2039</v>
      </c>
    </row>
    <row r="414" spans="1:24" x14ac:dyDescent="0.3">
      <c r="A414" t="s">
        <v>1079</v>
      </c>
      <c r="B414" t="s">
        <v>415</v>
      </c>
      <c r="D414">
        <f>AVERAGE(48.803,48.213)</f>
        <v>48.507999999999996</v>
      </c>
      <c r="E414">
        <f>AVERAGE(11971,11600)</f>
        <v>11785.5</v>
      </c>
      <c r="F414">
        <v>47.15</v>
      </c>
      <c r="G414" s="11"/>
      <c r="H414" t="s">
        <v>340</v>
      </c>
      <c r="I414">
        <v>11642</v>
      </c>
      <c r="J414">
        <v>5108286</v>
      </c>
      <c r="K414">
        <v>5</v>
      </c>
      <c r="L414">
        <v>30</v>
      </c>
      <c r="M414" t="s">
        <v>226</v>
      </c>
      <c r="N414" s="6" t="s">
        <v>2389</v>
      </c>
      <c r="R414">
        <v>5</v>
      </c>
      <c r="S414">
        <v>30</v>
      </c>
      <c r="T414" t="s">
        <v>1897</v>
      </c>
      <c r="U414" t="s">
        <v>2009</v>
      </c>
      <c r="V414" t="s">
        <v>2024</v>
      </c>
      <c r="W414" t="s">
        <v>2016</v>
      </c>
      <c r="X414" t="s">
        <v>2039</v>
      </c>
    </row>
    <row r="415" spans="1:24" x14ac:dyDescent="0.3">
      <c r="A415" t="s">
        <v>1080</v>
      </c>
      <c r="B415" t="s">
        <v>22</v>
      </c>
      <c r="D415">
        <f>AVERAGE(37.282,37.714,35.06,37.238,36.285,39.727,37.623)</f>
        <v>37.275571428571425</v>
      </c>
      <c r="E415">
        <f>AVERAGE(10869,10498,10658,11090,10609,12145,11816)</f>
        <v>11097.857142857143</v>
      </c>
      <c r="F415">
        <v>51.35</v>
      </c>
      <c r="G415" s="11"/>
      <c r="H415" t="s">
        <v>1746</v>
      </c>
      <c r="I415">
        <v>10605</v>
      </c>
      <c r="J415">
        <v>5124997</v>
      </c>
      <c r="K415">
        <v>0</v>
      </c>
      <c r="L415">
        <v>35</v>
      </c>
      <c r="M415" t="s">
        <v>227</v>
      </c>
      <c r="N415" s="6" t="s">
        <v>2390</v>
      </c>
      <c r="R415">
        <v>0</v>
      </c>
      <c r="S415">
        <v>35</v>
      </c>
      <c r="T415" t="s">
        <v>389</v>
      </c>
      <c r="U415" t="s">
        <v>2009</v>
      </c>
      <c r="V415" t="s">
        <v>2023</v>
      </c>
      <c r="W415" t="s">
        <v>2014</v>
      </c>
    </row>
    <row r="416" spans="1:24" x14ac:dyDescent="0.3">
      <c r="A416" t="s">
        <v>267</v>
      </c>
      <c r="B416" t="s">
        <v>267</v>
      </c>
      <c r="D416">
        <v>35.454999999999998</v>
      </c>
      <c r="E416">
        <v>10312</v>
      </c>
      <c r="F416">
        <v>51.1</v>
      </c>
      <c r="G416" s="11"/>
      <c r="H416" t="s">
        <v>3707</v>
      </c>
      <c r="I416">
        <v>10312</v>
      </c>
      <c r="J416">
        <v>5470405</v>
      </c>
      <c r="K416">
        <v>0</v>
      </c>
      <c r="L416">
        <v>32</v>
      </c>
      <c r="M416" t="s">
        <v>226</v>
      </c>
      <c r="N416" s="6" t="s">
        <v>2391</v>
      </c>
      <c r="R416">
        <v>0</v>
      </c>
      <c r="S416">
        <v>32</v>
      </c>
      <c r="T416" t="s">
        <v>389</v>
      </c>
      <c r="U416" t="s">
        <v>2009</v>
      </c>
      <c r="V416" t="s">
        <v>2023</v>
      </c>
      <c r="W416" t="s">
        <v>2014</v>
      </c>
    </row>
    <row r="417" spans="1:24" x14ac:dyDescent="0.3">
      <c r="A417" t="s">
        <v>567</v>
      </c>
      <c r="B417" t="s">
        <v>567</v>
      </c>
      <c r="D417">
        <v>41.853999999999999</v>
      </c>
      <c r="E417">
        <v>12569</v>
      </c>
      <c r="F417">
        <v>48.88</v>
      </c>
      <c r="G417" s="11"/>
      <c r="H417" t="s">
        <v>3707</v>
      </c>
      <c r="I417">
        <v>12569</v>
      </c>
      <c r="J417">
        <v>6508028</v>
      </c>
      <c r="K417">
        <v>-3</v>
      </c>
      <c r="L417">
        <v>27</v>
      </c>
      <c r="M417" t="s">
        <v>226</v>
      </c>
      <c r="N417" s="6" t="s">
        <v>2391</v>
      </c>
      <c r="R417">
        <v>-3</v>
      </c>
      <c r="S417">
        <v>27</v>
      </c>
      <c r="T417" t="s">
        <v>656</v>
      </c>
      <c r="U417" t="s">
        <v>2009</v>
      </c>
      <c r="V417" t="s">
        <v>2023</v>
      </c>
      <c r="W417" t="s">
        <v>2014</v>
      </c>
    </row>
    <row r="418" spans="1:24" x14ac:dyDescent="0.3">
      <c r="A418" t="s">
        <v>1300</v>
      </c>
      <c r="B418" t="s">
        <v>806</v>
      </c>
      <c r="D418">
        <v>20.6</v>
      </c>
      <c r="F418">
        <v>56.5</v>
      </c>
      <c r="G418" s="11"/>
      <c r="H418" t="s">
        <v>383</v>
      </c>
      <c r="I418" t="s">
        <v>383</v>
      </c>
      <c r="J418" t="s">
        <v>383</v>
      </c>
      <c r="K418">
        <v>3</v>
      </c>
      <c r="L418">
        <v>30</v>
      </c>
      <c r="M418" t="s">
        <v>227</v>
      </c>
      <c r="N418" s="6" t="s">
        <v>2392</v>
      </c>
      <c r="R418">
        <v>3</v>
      </c>
      <c r="S418">
        <v>30</v>
      </c>
      <c r="T418" t="s">
        <v>1898</v>
      </c>
      <c r="U418" t="s">
        <v>2009</v>
      </c>
      <c r="V418" t="s">
        <v>2024</v>
      </c>
      <c r="W418" t="s">
        <v>2015</v>
      </c>
      <c r="X418" t="s">
        <v>3043</v>
      </c>
    </row>
    <row r="419" spans="1:24" x14ac:dyDescent="0.3">
      <c r="A419" t="s">
        <v>1082</v>
      </c>
      <c r="B419" t="s">
        <v>348</v>
      </c>
      <c r="D419">
        <v>30.463999999999999</v>
      </c>
      <c r="E419">
        <v>8907</v>
      </c>
      <c r="F419">
        <v>53.71</v>
      </c>
      <c r="G419" s="8" t="s">
        <v>2123</v>
      </c>
      <c r="H419" t="s">
        <v>383</v>
      </c>
      <c r="I419" t="s">
        <v>383</v>
      </c>
      <c r="J419" t="s">
        <v>383</v>
      </c>
      <c r="K419">
        <v>4</v>
      </c>
      <c r="L419">
        <v>15</v>
      </c>
      <c r="M419" t="s">
        <v>227</v>
      </c>
      <c r="N419" s="6" t="s">
        <v>2231</v>
      </c>
      <c r="R419">
        <v>4</v>
      </c>
      <c r="S419">
        <v>15</v>
      </c>
      <c r="T419" t="s">
        <v>1898</v>
      </c>
      <c r="U419" t="s">
        <v>2009</v>
      </c>
      <c r="V419" t="s">
        <v>2024</v>
      </c>
      <c r="W419" t="s">
        <v>2015</v>
      </c>
      <c r="X419" t="s">
        <v>3043</v>
      </c>
    </row>
    <row r="420" spans="1:24" x14ac:dyDescent="0.3">
      <c r="A420" t="s">
        <v>1048</v>
      </c>
      <c r="B420" t="s">
        <v>255</v>
      </c>
      <c r="C420" t="s">
        <v>756</v>
      </c>
      <c r="D420">
        <v>34.9</v>
      </c>
      <c r="F420">
        <v>55.7</v>
      </c>
      <c r="G420" s="11"/>
      <c r="H420" t="s">
        <v>383</v>
      </c>
      <c r="I420" t="s">
        <v>383</v>
      </c>
      <c r="J420" t="s">
        <v>383</v>
      </c>
      <c r="K420">
        <v>-3</v>
      </c>
      <c r="L420">
        <v>20</v>
      </c>
      <c r="M420" t="s">
        <v>227</v>
      </c>
      <c r="N420" s="6" t="s">
        <v>2393</v>
      </c>
      <c r="R420">
        <v>-3</v>
      </c>
      <c r="S420">
        <v>20</v>
      </c>
      <c r="T420" t="s">
        <v>1898</v>
      </c>
      <c r="U420" t="s">
        <v>2009</v>
      </c>
      <c r="V420" t="s">
        <v>2024</v>
      </c>
      <c r="W420" t="s">
        <v>2015</v>
      </c>
      <c r="X420" t="s">
        <v>3043</v>
      </c>
    </row>
    <row r="421" spans="1:24" x14ac:dyDescent="0.3">
      <c r="A421" t="s">
        <v>1083</v>
      </c>
      <c r="B421" t="s">
        <v>256</v>
      </c>
      <c r="D421">
        <v>23.98</v>
      </c>
      <c r="F421">
        <v>59.9</v>
      </c>
      <c r="G421" s="8" t="s">
        <v>2124</v>
      </c>
      <c r="H421" t="s">
        <v>383</v>
      </c>
      <c r="I421" t="s">
        <v>383</v>
      </c>
      <c r="J421" t="s">
        <v>383</v>
      </c>
      <c r="K421">
        <v>-3</v>
      </c>
      <c r="L421">
        <v>20</v>
      </c>
      <c r="M421" t="s">
        <v>227</v>
      </c>
      <c r="N421" s="6" t="s">
        <v>2394</v>
      </c>
      <c r="R421">
        <v>-3</v>
      </c>
      <c r="S421">
        <v>20</v>
      </c>
      <c r="T421" t="s">
        <v>1898</v>
      </c>
      <c r="U421" t="s">
        <v>2009</v>
      </c>
      <c r="V421" t="s">
        <v>2024</v>
      </c>
      <c r="W421" t="s">
        <v>2015</v>
      </c>
      <c r="X421" t="s">
        <v>3043</v>
      </c>
    </row>
    <row r="422" spans="1:24" x14ac:dyDescent="0.3">
      <c r="A422" t="s">
        <v>1084</v>
      </c>
      <c r="B422" t="s">
        <v>279</v>
      </c>
      <c r="D422">
        <v>27.8</v>
      </c>
      <c r="E422">
        <v>5994</v>
      </c>
      <c r="F422">
        <v>53.8</v>
      </c>
      <c r="G422" s="8" t="s">
        <v>2125</v>
      </c>
      <c r="H422" t="s">
        <v>383</v>
      </c>
      <c r="I422" t="s">
        <v>383</v>
      </c>
      <c r="J422" t="s">
        <v>383</v>
      </c>
      <c r="K422">
        <v>0</v>
      </c>
      <c r="L422">
        <v>18</v>
      </c>
      <c r="M422" t="s">
        <v>236</v>
      </c>
      <c r="N422" s="6" t="s">
        <v>2395</v>
      </c>
      <c r="R422">
        <v>0</v>
      </c>
      <c r="S422">
        <v>18</v>
      </c>
      <c r="T422" t="s">
        <v>1898</v>
      </c>
      <c r="U422" t="s">
        <v>2009</v>
      </c>
      <c r="V422" t="s">
        <v>2024</v>
      </c>
      <c r="W422" t="s">
        <v>2015</v>
      </c>
      <c r="X422" t="s">
        <v>3043</v>
      </c>
    </row>
    <row r="423" spans="1:24" x14ac:dyDescent="0.3">
      <c r="A423" t="s">
        <v>1286</v>
      </c>
      <c r="B423" t="s">
        <v>793</v>
      </c>
      <c r="D423">
        <v>61.731999999999999</v>
      </c>
      <c r="E423">
        <v>18562</v>
      </c>
      <c r="F423">
        <v>50</v>
      </c>
      <c r="G423" s="11"/>
      <c r="H423" t="s">
        <v>340</v>
      </c>
      <c r="I423">
        <v>18561</v>
      </c>
      <c r="J423">
        <v>7006275</v>
      </c>
      <c r="K423">
        <v>10</v>
      </c>
      <c r="L423">
        <v>30</v>
      </c>
      <c r="M423" t="s">
        <v>227</v>
      </c>
      <c r="N423" s="6" t="s">
        <v>2183</v>
      </c>
      <c r="R423">
        <v>10</v>
      </c>
      <c r="S423">
        <v>30</v>
      </c>
      <c r="T423" t="s">
        <v>1899</v>
      </c>
      <c r="U423" t="s">
        <v>2009</v>
      </c>
      <c r="V423" t="s">
        <v>2024</v>
      </c>
      <c r="W423" t="s">
        <v>2015</v>
      </c>
      <c r="X423" t="s">
        <v>3039</v>
      </c>
    </row>
    <row r="424" spans="1:24" x14ac:dyDescent="0.3">
      <c r="A424" t="s">
        <v>1085</v>
      </c>
      <c r="B424" t="s">
        <v>715</v>
      </c>
      <c r="C424" t="s">
        <v>715</v>
      </c>
      <c r="D424">
        <v>36.770000000000003</v>
      </c>
      <c r="E424">
        <v>10508</v>
      </c>
      <c r="F424">
        <v>39.5</v>
      </c>
      <c r="G424" s="8" t="s">
        <v>2060</v>
      </c>
      <c r="H424" t="s">
        <v>1746</v>
      </c>
      <c r="I424">
        <v>12143</v>
      </c>
      <c r="J424">
        <v>5338243</v>
      </c>
      <c r="K424">
        <v>7</v>
      </c>
      <c r="L424">
        <v>37</v>
      </c>
      <c r="M424" t="s">
        <v>227</v>
      </c>
      <c r="N424" s="6" t="s">
        <v>2396</v>
      </c>
      <c r="R424">
        <v>7</v>
      </c>
      <c r="S424">
        <v>37</v>
      </c>
      <c r="T424" t="s">
        <v>649</v>
      </c>
      <c r="U424" t="s">
        <v>2009</v>
      </c>
      <c r="V424" t="s">
        <v>2023</v>
      </c>
      <c r="W424" t="s">
        <v>2014</v>
      </c>
      <c r="X424" t="s">
        <v>3037</v>
      </c>
    </row>
    <row r="425" spans="1:24" x14ac:dyDescent="0.3">
      <c r="A425" t="s">
        <v>1166</v>
      </c>
      <c r="B425" t="s">
        <v>579</v>
      </c>
      <c r="C425" t="s">
        <v>2044</v>
      </c>
      <c r="D425">
        <v>34.997</v>
      </c>
      <c r="E425">
        <v>11445</v>
      </c>
      <c r="F425">
        <v>34.53</v>
      </c>
      <c r="G425" s="11"/>
      <c r="H425" t="s">
        <v>3707</v>
      </c>
      <c r="I425">
        <v>11445</v>
      </c>
      <c r="J425">
        <v>5428443</v>
      </c>
      <c r="K425">
        <v>5</v>
      </c>
      <c r="L425">
        <v>36</v>
      </c>
      <c r="M425" t="s">
        <v>227</v>
      </c>
      <c r="N425" s="6" t="s">
        <v>2397</v>
      </c>
      <c r="R425">
        <v>5</v>
      </c>
      <c r="S425">
        <v>36</v>
      </c>
      <c r="T425" t="s">
        <v>649</v>
      </c>
      <c r="U425" t="s">
        <v>2009</v>
      </c>
      <c r="V425" t="s">
        <v>2023</v>
      </c>
      <c r="W425" t="s">
        <v>2014</v>
      </c>
      <c r="X425" t="s">
        <v>3037</v>
      </c>
    </row>
    <row r="426" spans="1:24" x14ac:dyDescent="0.3">
      <c r="A426" t="s">
        <v>1086</v>
      </c>
      <c r="B426" t="s">
        <v>195</v>
      </c>
      <c r="D426">
        <f>AVERAGE(36.611,36.817)</f>
        <v>36.713999999999999</v>
      </c>
      <c r="E426">
        <f>AVERAGE(11616,11843)</f>
        <v>11729.5</v>
      </c>
      <c r="F426">
        <v>42.17</v>
      </c>
      <c r="G426" s="11"/>
      <c r="H426" t="s">
        <v>1746</v>
      </c>
      <c r="I426">
        <v>11584</v>
      </c>
      <c r="J426">
        <v>4425569</v>
      </c>
      <c r="K426">
        <v>7</v>
      </c>
      <c r="L426">
        <v>36</v>
      </c>
      <c r="M426" t="s">
        <v>226</v>
      </c>
      <c r="N426" s="6" t="s">
        <v>2398</v>
      </c>
      <c r="R426">
        <v>7</v>
      </c>
      <c r="S426">
        <v>36</v>
      </c>
      <c r="T426" t="s">
        <v>649</v>
      </c>
      <c r="U426" t="s">
        <v>2009</v>
      </c>
      <c r="V426" t="s">
        <v>2023</v>
      </c>
      <c r="W426" t="s">
        <v>2014</v>
      </c>
      <c r="X426" t="s">
        <v>3037</v>
      </c>
    </row>
    <row r="427" spans="1:24" x14ac:dyDescent="0.3">
      <c r="A427" t="s">
        <v>1280</v>
      </c>
      <c r="B427" t="s">
        <v>787</v>
      </c>
      <c r="D427">
        <v>33.49</v>
      </c>
      <c r="E427">
        <v>11449</v>
      </c>
      <c r="F427">
        <v>37</v>
      </c>
      <c r="G427" s="11"/>
      <c r="H427" t="s">
        <v>3707</v>
      </c>
      <c r="I427">
        <v>11449</v>
      </c>
      <c r="J427">
        <v>5164893</v>
      </c>
      <c r="K427">
        <v>0</v>
      </c>
      <c r="L427">
        <v>26</v>
      </c>
      <c r="M427" t="s">
        <v>227</v>
      </c>
      <c r="N427" s="6" t="s">
        <v>2329</v>
      </c>
      <c r="R427">
        <v>0</v>
      </c>
      <c r="S427">
        <v>26</v>
      </c>
      <c r="T427" t="s">
        <v>649</v>
      </c>
      <c r="U427" t="s">
        <v>2009</v>
      </c>
      <c r="V427" t="s">
        <v>2023</v>
      </c>
      <c r="W427" t="s">
        <v>2014</v>
      </c>
      <c r="X427" t="s">
        <v>3037</v>
      </c>
    </row>
    <row r="428" spans="1:24" x14ac:dyDescent="0.3">
      <c r="A428" t="s">
        <v>1365</v>
      </c>
      <c r="B428" t="s">
        <v>196</v>
      </c>
      <c r="D428">
        <v>48.4</v>
      </c>
      <c r="E428">
        <v>11690</v>
      </c>
      <c r="F428">
        <v>31</v>
      </c>
      <c r="G428" s="11"/>
      <c r="H428" t="s">
        <v>1746</v>
      </c>
      <c r="I428">
        <v>11657</v>
      </c>
      <c r="J428">
        <v>5403037</v>
      </c>
      <c r="K428">
        <v>7</v>
      </c>
      <c r="L428">
        <v>34</v>
      </c>
      <c r="M428" t="s">
        <v>227</v>
      </c>
      <c r="N428" s="6" t="s">
        <v>2399</v>
      </c>
      <c r="R428">
        <v>7</v>
      </c>
      <c r="S428">
        <v>34</v>
      </c>
      <c r="T428" t="s">
        <v>649</v>
      </c>
      <c r="U428" t="s">
        <v>2009</v>
      </c>
      <c r="V428" t="s">
        <v>2023</v>
      </c>
      <c r="W428" t="s">
        <v>2014</v>
      </c>
      <c r="X428" t="s">
        <v>3037</v>
      </c>
    </row>
    <row r="429" spans="1:24" x14ac:dyDescent="0.3">
      <c r="A429" t="s">
        <v>1553</v>
      </c>
      <c r="B429" t="s">
        <v>3809</v>
      </c>
      <c r="D429">
        <v>46.923999999999999</v>
      </c>
      <c r="E429">
        <v>11269</v>
      </c>
      <c r="F429">
        <v>33.299999999999997</v>
      </c>
      <c r="G429" s="11"/>
      <c r="H429" t="s">
        <v>3707</v>
      </c>
      <c r="I429">
        <v>11269</v>
      </c>
      <c r="J429">
        <v>5367036</v>
      </c>
      <c r="M429" t="s">
        <v>1691</v>
      </c>
      <c r="N429" s="6" t="s">
        <v>2168</v>
      </c>
      <c r="O429">
        <v>0</v>
      </c>
      <c r="P429">
        <v>33</v>
      </c>
      <c r="Q429">
        <v>5</v>
      </c>
      <c r="R429">
        <v>0</v>
      </c>
      <c r="S429">
        <v>33</v>
      </c>
      <c r="T429" t="s">
        <v>649</v>
      </c>
      <c r="U429" t="s">
        <v>2009</v>
      </c>
      <c r="V429" t="s">
        <v>2023</v>
      </c>
      <c r="W429" t="s">
        <v>2014</v>
      </c>
      <c r="X429" t="s">
        <v>3037</v>
      </c>
    </row>
    <row r="430" spans="1:24" x14ac:dyDescent="0.3">
      <c r="A430" t="s">
        <v>1540</v>
      </c>
      <c r="B430" t="s">
        <v>3810</v>
      </c>
      <c r="D430">
        <v>44.006</v>
      </c>
      <c r="E430">
        <v>11447</v>
      </c>
      <c r="F430">
        <v>44.5</v>
      </c>
      <c r="G430" s="11"/>
      <c r="H430" t="s">
        <v>383</v>
      </c>
      <c r="I430" t="s">
        <v>383</v>
      </c>
      <c r="J430" t="s">
        <v>383</v>
      </c>
      <c r="M430" t="s">
        <v>1691</v>
      </c>
      <c r="N430" s="6" t="s">
        <v>2168</v>
      </c>
      <c r="O430">
        <v>8</v>
      </c>
      <c r="P430">
        <v>32</v>
      </c>
      <c r="Q430">
        <v>6</v>
      </c>
      <c r="R430">
        <v>8</v>
      </c>
      <c r="S430">
        <v>32</v>
      </c>
      <c r="T430" t="s">
        <v>1900</v>
      </c>
      <c r="U430" t="s">
        <v>2009</v>
      </c>
      <c r="V430" t="s">
        <v>2024</v>
      </c>
      <c r="W430" t="s">
        <v>2016</v>
      </c>
      <c r="X430" t="s">
        <v>2039</v>
      </c>
    </row>
    <row r="431" spans="1:24" x14ac:dyDescent="0.3">
      <c r="A431" t="s">
        <v>1393</v>
      </c>
      <c r="B431" t="s">
        <v>3811</v>
      </c>
      <c r="D431">
        <v>19.7</v>
      </c>
      <c r="E431">
        <v>6907</v>
      </c>
      <c r="F431">
        <v>47</v>
      </c>
      <c r="G431" s="11"/>
      <c r="H431" t="s">
        <v>1746</v>
      </c>
      <c r="I431">
        <v>6788</v>
      </c>
      <c r="J431">
        <v>3998390</v>
      </c>
      <c r="M431" t="s">
        <v>1691</v>
      </c>
      <c r="N431" s="6" t="s">
        <v>2168</v>
      </c>
      <c r="O431">
        <v>7.5</v>
      </c>
      <c r="P431">
        <v>40</v>
      </c>
      <c r="Q431">
        <v>25</v>
      </c>
      <c r="R431">
        <v>7.5</v>
      </c>
      <c r="S431">
        <v>40</v>
      </c>
      <c r="T431" t="s">
        <v>1901</v>
      </c>
      <c r="U431" t="s">
        <v>2009</v>
      </c>
      <c r="V431" t="s">
        <v>2024</v>
      </c>
      <c r="W431" t="s">
        <v>2015</v>
      </c>
      <c r="X431" t="s">
        <v>3050</v>
      </c>
    </row>
    <row r="432" spans="1:24" x14ac:dyDescent="0.3">
      <c r="A432" t="s">
        <v>1385</v>
      </c>
      <c r="B432" t="s">
        <v>3812</v>
      </c>
      <c r="C432" t="s">
        <v>1711</v>
      </c>
      <c r="D432">
        <v>39.6</v>
      </c>
      <c r="E432">
        <v>13096</v>
      </c>
      <c r="F432">
        <v>48</v>
      </c>
      <c r="G432" s="11"/>
      <c r="H432" t="s">
        <v>1746</v>
      </c>
      <c r="I432">
        <v>13096</v>
      </c>
      <c r="J432">
        <v>5841930</v>
      </c>
      <c r="M432" t="s">
        <v>1691</v>
      </c>
      <c r="N432" s="6" t="s">
        <v>2168</v>
      </c>
      <c r="O432">
        <v>5</v>
      </c>
      <c r="P432">
        <v>32</v>
      </c>
      <c r="Q432">
        <v>6</v>
      </c>
      <c r="R432">
        <v>5</v>
      </c>
      <c r="S432">
        <v>32</v>
      </c>
      <c r="T432" t="s">
        <v>663</v>
      </c>
      <c r="U432" t="s">
        <v>2009</v>
      </c>
      <c r="V432" t="s">
        <v>2024</v>
      </c>
      <c r="W432" t="s">
        <v>2016</v>
      </c>
      <c r="X432" t="s">
        <v>2039</v>
      </c>
    </row>
    <row r="433" spans="1:24" x14ac:dyDescent="0.3">
      <c r="A433" t="s">
        <v>1088</v>
      </c>
      <c r="B433" t="s">
        <v>206</v>
      </c>
      <c r="C433" t="s">
        <v>1736</v>
      </c>
      <c r="D433">
        <f>AVERAGE(26.959,29.325)</f>
        <v>28.141999999999999</v>
      </c>
      <c r="E433">
        <f>AVERAGE(7749,10956)</f>
        <v>9352.5</v>
      </c>
      <c r="F433">
        <v>58</v>
      </c>
      <c r="G433" s="11"/>
      <c r="H433" t="s">
        <v>340</v>
      </c>
      <c r="I433">
        <v>10952</v>
      </c>
      <c r="J433">
        <v>4800858</v>
      </c>
      <c r="K433">
        <v>28</v>
      </c>
      <c r="L433">
        <v>57</v>
      </c>
      <c r="M433" t="s">
        <v>227</v>
      </c>
      <c r="N433" s="6" t="s">
        <v>2400</v>
      </c>
      <c r="R433">
        <v>28</v>
      </c>
      <c r="S433">
        <v>57</v>
      </c>
      <c r="T433" t="s">
        <v>1902</v>
      </c>
      <c r="U433" t="s">
        <v>2009</v>
      </c>
      <c r="V433" t="s">
        <v>2024</v>
      </c>
      <c r="W433" t="s">
        <v>2016</v>
      </c>
      <c r="X433" t="s">
        <v>2039</v>
      </c>
    </row>
    <row r="434" spans="1:24" x14ac:dyDescent="0.3">
      <c r="A434" t="s">
        <v>1366</v>
      </c>
      <c r="B434" t="s">
        <v>716</v>
      </c>
      <c r="D434">
        <v>25.7</v>
      </c>
      <c r="E434">
        <v>10757</v>
      </c>
      <c r="F434">
        <v>52</v>
      </c>
      <c r="G434" s="11"/>
      <c r="H434" t="s">
        <v>1746</v>
      </c>
      <c r="I434">
        <v>10673</v>
      </c>
      <c r="J434">
        <v>4838138</v>
      </c>
      <c r="K434">
        <v>0</v>
      </c>
      <c r="L434">
        <v>25</v>
      </c>
      <c r="M434" t="s">
        <v>227</v>
      </c>
      <c r="N434" s="6" t="s">
        <v>2401</v>
      </c>
      <c r="R434">
        <v>0</v>
      </c>
      <c r="S434">
        <v>25</v>
      </c>
      <c r="T434" t="s">
        <v>1903</v>
      </c>
      <c r="U434" t="s">
        <v>2009</v>
      </c>
      <c r="V434" t="s">
        <v>2024</v>
      </c>
      <c r="W434" t="s">
        <v>2016</v>
      </c>
      <c r="X434" t="s">
        <v>2039</v>
      </c>
    </row>
    <row r="435" spans="1:24" x14ac:dyDescent="0.3">
      <c r="A435" t="s">
        <v>1090</v>
      </c>
      <c r="B435" t="s">
        <v>240</v>
      </c>
      <c r="C435" t="s">
        <v>338</v>
      </c>
      <c r="D435">
        <v>13.749000000000001</v>
      </c>
      <c r="E435">
        <v>5657</v>
      </c>
      <c r="F435">
        <v>39.21</v>
      </c>
      <c r="G435" s="11"/>
      <c r="H435" t="s">
        <v>1746</v>
      </c>
      <c r="I435">
        <v>5635</v>
      </c>
      <c r="J435">
        <v>2669128</v>
      </c>
      <c r="K435">
        <v>0</v>
      </c>
      <c r="L435">
        <v>30</v>
      </c>
      <c r="M435" t="s">
        <v>236</v>
      </c>
      <c r="N435" s="6" t="s">
        <v>2292</v>
      </c>
      <c r="R435">
        <v>0</v>
      </c>
      <c r="S435">
        <v>30</v>
      </c>
      <c r="T435" t="s">
        <v>1904</v>
      </c>
      <c r="U435" t="s">
        <v>2009</v>
      </c>
      <c r="V435" t="s">
        <v>2024</v>
      </c>
      <c r="W435" t="s">
        <v>2016</v>
      </c>
      <c r="X435" t="s">
        <v>3045</v>
      </c>
    </row>
    <row r="436" spans="1:24" x14ac:dyDescent="0.3">
      <c r="A436" t="s">
        <v>1225</v>
      </c>
      <c r="B436" t="s">
        <v>289</v>
      </c>
      <c r="C436" t="s">
        <v>364</v>
      </c>
      <c r="D436">
        <v>20.998000000000001</v>
      </c>
      <c r="E436">
        <v>5860</v>
      </c>
      <c r="F436">
        <v>56.4</v>
      </c>
      <c r="G436" s="8" t="s">
        <v>2126</v>
      </c>
      <c r="H436" t="s">
        <v>383</v>
      </c>
      <c r="I436" t="s">
        <v>383</v>
      </c>
      <c r="J436" t="s">
        <v>383</v>
      </c>
      <c r="K436">
        <v>10</v>
      </c>
      <c r="L436">
        <v>36</v>
      </c>
      <c r="M436" t="s">
        <v>226</v>
      </c>
      <c r="N436" s="6" t="s">
        <v>2402</v>
      </c>
      <c r="R436">
        <v>10</v>
      </c>
      <c r="S436">
        <v>36</v>
      </c>
      <c r="T436" t="s">
        <v>650</v>
      </c>
      <c r="U436" t="s">
        <v>2009</v>
      </c>
      <c r="V436" t="s">
        <v>2024</v>
      </c>
      <c r="W436" t="s">
        <v>2015</v>
      </c>
      <c r="X436" t="s">
        <v>3043</v>
      </c>
    </row>
    <row r="437" spans="1:24" x14ac:dyDescent="0.3">
      <c r="A437" t="s">
        <v>959</v>
      </c>
      <c r="B437" t="s">
        <v>487</v>
      </c>
      <c r="C437" t="s">
        <v>489</v>
      </c>
      <c r="D437">
        <v>21.335699999999999</v>
      </c>
      <c r="E437">
        <v>7686</v>
      </c>
      <c r="F437">
        <v>53.15</v>
      </c>
      <c r="G437" s="11"/>
      <c r="H437" t="s">
        <v>340</v>
      </c>
      <c r="I437">
        <v>7686</v>
      </c>
      <c r="J437">
        <v>3837623</v>
      </c>
      <c r="K437">
        <v>5</v>
      </c>
      <c r="L437">
        <v>30</v>
      </c>
      <c r="M437" t="s">
        <v>227</v>
      </c>
      <c r="N437" s="6" t="s">
        <v>2234</v>
      </c>
      <c r="O437" s="14"/>
      <c r="P437" s="14"/>
      <c r="R437">
        <v>5</v>
      </c>
      <c r="S437">
        <v>30</v>
      </c>
      <c r="T437" t="s">
        <v>488</v>
      </c>
      <c r="U437" t="s">
        <v>2009</v>
      </c>
      <c r="V437" t="s">
        <v>2024</v>
      </c>
      <c r="W437" t="s">
        <v>2015</v>
      </c>
      <c r="X437" t="s">
        <v>3043</v>
      </c>
    </row>
    <row r="438" spans="1:24" x14ac:dyDescent="0.3">
      <c r="A438" t="s">
        <v>1091</v>
      </c>
      <c r="B438" t="s">
        <v>167</v>
      </c>
      <c r="C438" t="s">
        <v>547</v>
      </c>
      <c r="D438">
        <f>AVERAGE(20.7,20.66,20.67,20.85,19.43,19.42)</f>
        <v>20.288333333333334</v>
      </c>
      <c r="E438">
        <v>6607</v>
      </c>
      <c r="F438">
        <v>54</v>
      </c>
      <c r="G438" s="11"/>
      <c r="H438" t="s">
        <v>340</v>
      </c>
      <c r="I438">
        <v>6828</v>
      </c>
      <c r="J438">
        <v>3768991</v>
      </c>
      <c r="K438">
        <v>4</v>
      </c>
      <c r="L438">
        <v>25</v>
      </c>
      <c r="M438" t="s">
        <v>227</v>
      </c>
      <c r="N438" s="6" t="s">
        <v>2403</v>
      </c>
      <c r="O438" s="9"/>
      <c r="P438" s="9"/>
      <c r="R438">
        <v>4</v>
      </c>
      <c r="S438">
        <v>25</v>
      </c>
      <c r="T438" t="s">
        <v>488</v>
      </c>
      <c r="U438" t="s">
        <v>2009</v>
      </c>
      <c r="V438" t="s">
        <v>2024</v>
      </c>
      <c r="W438" t="s">
        <v>2015</v>
      </c>
      <c r="X438" t="s">
        <v>3043</v>
      </c>
    </row>
    <row r="439" spans="1:24" x14ac:dyDescent="0.3">
      <c r="A439" t="s">
        <v>960</v>
      </c>
      <c r="B439" t="s">
        <v>490</v>
      </c>
      <c r="C439" t="s">
        <v>1695</v>
      </c>
      <c r="D439">
        <v>21.2182</v>
      </c>
      <c r="F439">
        <v>52.4</v>
      </c>
      <c r="G439" s="11"/>
      <c r="H439" t="s">
        <v>383</v>
      </c>
      <c r="I439" t="s">
        <v>383</v>
      </c>
      <c r="J439" t="s">
        <v>383</v>
      </c>
      <c r="K439">
        <v>-3</v>
      </c>
      <c r="L439">
        <v>28</v>
      </c>
      <c r="M439" t="s">
        <v>227</v>
      </c>
      <c r="N439" s="6" t="s">
        <v>2404</v>
      </c>
      <c r="R439">
        <v>-3</v>
      </c>
      <c r="S439">
        <v>28</v>
      </c>
      <c r="T439" t="s">
        <v>488</v>
      </c>
      <c r="U439" t="s">
        <v>2009</v>
      </c>
      <c r="V439" t="s">
        <v>2024</v>
      </c>
      <c r="W439" t="s">
        <v>2015</v>
      </c>
      <c r="X439" t="s">
        <v>3043</v>
      </c>
    </row>
    <row r="440" spans="1:24" x14ac:dyDescent="0.3">
      <c r="A440" t="s">
        <v>1092</v>
      </c>
      <c r="B440" t="s">
        <v>257</v>
      </c>
      <c r="D440">
        <v>23.839099999999998</v>
      </c>
      <c r="E440">
        <v>7205</v>
      </c>
      <c r="F440">
        <v>50.9</v>
      </c>
      <c r="G440" s="11"/>
      <c r="H440" t="s">
        <v>340</v>
      </c>
      <c r="I440">
        <v>7205</v>
      </c>
      <c r="J440">
        <v>3853663</v>
      </c>
      <c r="K440">
        <v>-3</v>
      </c>
      <c r="L440">
        <v>25</v>
      </c>
      <c r="M440" t="s">
        <v>227</v>
      </c>
      <c r="N440" s="6" t="s">
        <v>2287</v>
      </c>
      <c r="R440">
        <v>-3</v>
      </c>
      <c r="S440">
        <v>25</v>
      </c>
      <c r="T440" t="s">
        <v>488</v>
      </c>
      <c r="U440" t="s">
        <v>2009</v>
      </c>
      <c r="V440" t="s">
        <v>2024</v>
      </c>
      <c r="W440" t="s">
        <v>2015</v>
      </c>
      <c r="X440" t="s">
        <v>3043</v>
      </c>
    </row>
    <row r="441" spans="1:24" x14ac:dyDescent="0.3">
      <c r="A441" t="s">
        <v>548</v>
      </c>
      <c r="B441" t="s">
        <v>548</v>
      </c>
      <c r="D441">
        <v>27.86</v>
      </c>
      <c r="E441">
        <v>7902</v>
      </c>
      <c r="F441">
        <v>54</v>
      </c>
      <c r="G441" s="8" t="s">
        <v>2127</v>
      </c>
      <c r="H441" t="s">
        <v>383</v>
      </c>
      <c r="I441" t="s">
        <v>383</v>
      </c>
      <c r="J441" t="s">
        <v>383</v>
      </c>
      <c r="K441">
        <v>5</v>
      </c>
      <c r="L441">
        <v>35</v>
      </c>
      <c r="M441" t="s">
        <v>227</v>
      </c>
      <c r="N441" s="6" t="s">
        <v>2127</v>
      </c>
      <c r="O441" s="9"/>
      <c r="P441" s="9"/>
      <c r="R441">
        <v>5</v>
      </c>
      <c r="S441">
        <v>35</v>
      </c>
      <c r="T441" t="s">
        <v>488</v>
      </c>
      <c r="U441" t="s">
        <v>2009</v>
      </c>
      <c r="V441" t="s">
        <v>2024</v>
      </c>
      <c r="W441" t="s">
        <v>2015</v>
      </c>
      <c r="X441" t="s">
        <v>3043</v>
      </c>
    </row>
    <row r="442" spans="1:24" x14ac:dyDescent="0.3">
      <c r="A442" t="s">
        <v>1367</v>
      </c>
      <c r="B442" t="s">
        <v>717</v>
      </c>
      <c r="D442">
        <v>19.5</v>
      </c>
      <c r="E442">
        <v>6883</v>
      </c>
      <c r="F442">
        <v>53.5</v>
      </c>
      <c r="G442" s="11"/>
      <c r="H442" t="s">
        <v>1746</v>
      </c>
      <c r="I442">
        <v>6879</v>
      </c>
      <c r="J442">
        <v>3712605</v>
      </c>
      <c r="K442">
        <v>3</v>
      </c>
      <c r="L442">
        <v>37</v>
      </c>
      <c r="M442" t="s">
        <v>227</v>
      </c>
      <c r="N442" s="6" t="s">
        <v>2392</v>
      </c>
      <c r="R442">
        <v>3</v>
      </c>
      <c r="S442">
        <v>37</v>
      </c>
      <c r="T442" t="s">
        <v>488</v>
      </c>
      <c r="U442" t="s">
        <v>2009</v>
      </c>
      <c r="V442" t="s">
        <v>2024</v>
      </c>
      <c r="W442" t="s">
        <v>2015</v>
      </c>
      <c r="X442" t="s">
        <v>3043</v>
      </c>
    </row>
    <row r="443" spans="1:24" x14ac:dyDescent="0.3">
      <c r="A443" t="s">
        <v>962</v>
      </c>
      <c r="B443" t="s">
        <v>234</v>
      </c>
      <c r="C443" t="s">
        <v>330</v>
      </c>
      <c r="D443">
        <v>19.679099999999998</v>
      </c>
      <c r="E443">
        <v>6711</v>
      </c>
      <c r="F443">
        <v>52.81</v>
      </c>
      <c r="G443" s="11"/>
      <c r="H443" t="s">
        <v>3707</v>
      </c>
      <c r="I443">
        <v>6711</v>
      </c>
      <c r="J443">
        <v>3390525</v>
      </c>
      <c r="K443">
        <v>-1</v>
      </c>
      <c r="L443">
        <v>21</v>
      </c>
      <c r="M443" t="s">
        <v>227</v>
      </c>
      <c r="N443" s="6" t="s">
        <v>2405</v>
      </c>
      <c r="R443">
        <v>-1</v>
      </c>
      <c r="S443">
        <v>21</v>
      </c>
      <c r="T443" t="s">
        <v>488</v>
      </c>
      <c r="U443" t="s">
        <v>2009</v>
      </c>
      <c r="V443" t="s">
        <v>2024</v>
      </c>
      <c r="W443" t="s">
        <v>2015</v>
      </c>
      <c r="X443" t="s">
        <v>3043</v>
      </c>
    </row>
    <row r="444" spans="1:24" x14ac:dyDescent="0.3">
      <c r="A444" t="s">
        <v>1223</v>
      </c>
      <c r="B444" t="s">
        <v>243</v>
      </c>
      <c r="C444" t="s">
        <v>363</v>
      </c>
      <c r="D444">
        <v>13.276</v>
      </c>
      <c r="E444">
        <v>5256</v>
      </c>
      <c r="F444">
        <v>38.6</v>
      </c>
      <c r="G444" s="11"/>
      <c r="H444" t="s">
        <v>1746</v>
      </c>
      <c r="I444">
        <v>5187</v>
      </c>
      <c r="J444">
        <v>2632068</v>
      </c>
      <c r="K444">
        <v>5</v>
      </c>
      <c r="L444">
        <v>40</v>
      </c>
      <c r="M444" t="s">
        <v>227</v>
      </c>
      <c r="N444" s="6" t="s">
        <v>2285</v>
      </c>
      <c r="R444">
        <v>5</v>
      </c>
      <c r="S444">
        <v>40</v>
      </c>
      <c r="T444" t="s">
        <v>1905</v>
      </c>
      <c r="U444" t="s">
        <v>2009</v>
      </c>
      <c r="V444" t="s">
        <v>2024</v>
      </c>
      <c r="W444" t="s">
        <v>2016</v>
      </c>
      <c r="X444" t="s">
        <v>3045</v>
      </c>
    </row>
    <row r="445" spans="1:24" x14ac:dyDescent="0.3">
      <c r="A445" t="s">
        <v>1557</v>
      </c>
      <c r="B445" t="s">
        <v>3813</v>
      </c>
      <c r="D445">
        <v>34.9</v>
      </c>
      <c r="E445">
        <v>12077</v>
      </c>
      <c r="F445">
        <v>59</v>
      </c>
      <c r="G445" s="8" t="s">
        <v>2128</v>
      </c>
      <c r="H445" t="s">
        <v>383</v>
      </c>
      <c r="I445" t="s">
        <v>383</v>
      </c>
      <c r="J445" t="s">
        <v>383</v>
      </c>
      <c r="M445" t="s">
        <v>1691</v>
      </c>
      <c r="N445" s="6" t="s">
        <v>2168</v>
      </c>
      <c r="O445">
        <v>13</v>
      </c>
      <c r="P445">
        <v>33.75</v>
      </c>
      <c r="Q445">
        <v>6</v>
      </c>
      <c r="R445">
        <v>13</v>
      </c>
      <c r="S445">
        <v>33.75</v>
      </c>
      <c r="T445" t="s">
        <v>1906</v>
      </c>
      <c r="U445" t="s">
        <v>2009</v>
      </c>
      <c r="V445" t="s">
        <v>2024</v>
      </c>
      <c r="W445" t="s">
        <v>2016</v>
      </c>
      <c r="X445" t="s">
        <v>2039</v>
      </c>
    </row>
    <row r="446" spans="1:24" x14ac:dyDescent="0.3">
      <c r="A446" t="s">
        <v>1559</v>
      </c>
      <c r="B446" t="s">
        <v>3814</v>
      </c>
      <c r="C446" t="s">
        <v>1751</v>
      </c>
      <c r="D446">
        <v>66.694000000000003</v>
      </c>
      <c r="E446">
        <v>17406</v>
      </c>
      <c r="F446">
        <v>56</v>
      </c>
      <c r="G446" s="11"/>
      <c r="H446" t="s">
        <v>340</v>
      </c>
      <c r="I446">
        <v>17406</v>
      </c>
      <c r="J446">
        <v>6953356</v>
      </c>
      <c r="M446" t="s">
        <v>1691</v>
      </c>
      <c r="N446" s="6" t="s">
        <v>2168</v>
      </c>
      <c r="O446">
        <v>4</v>
      </c>
      <c r="P446">
        <v>35</v>
      </c>
      <c r="Q446">
        <v>10</v>
      </c>
      <c r="R446">
        <v>4</v>
      </c>
      <c r="S446">
        <v>35</v>
      </c>
      <c r="T446" t="s">
        <v>630</v>
      </c>
      <c r="U446" t="s">
        <v>2009</v>
      </c>
      <c r="V446" t="s">
        <v>2024</v>
      </c>
      <c r="W446" t="s">
        <v>2015</v>
      </c>
      <c r="X446" t="s">
        <v>3039</v>
      </c>
    </row>
    <row r="447" spans="1:24" x14ac:dyDescent="0.3">
      <c r="A447" t="s">
        <v>1713</v>
      </c>
      <c r="B447" t="s">
        <v>785</v>
      </c>
      <c r="C447" t="s">
        <v>2046</v>
      </c>
      <c r="D447">
        <v>46.9</v>
      </c>
      <c r="E447">
        <v>15626</v>
      </c>
      <c r="F447">
        <v>52</v>
      </c>
      <c r="G447" s="8" t="s">
        <v>2129</v>
      </c>
      <c r="H447" t="s">
        <v>383</v>
      </c>
      <c r="I447" t="s">
        <v>383</v>
      </c>
      <c r="J447" t="s">
        <v>383</v>
      </c>
      <c r="K447">
        <v>19</v>
      </c>
      <c r="L447">
        <v>37</v>
      </c>
      <c r="M447" t="s">
        <v>226</v>
      </c>
      <c r="N447" s="6" t="s">
        <v>2406</v>
      </c>
      <c r="R447">
        <v>19</v>
      </c>
      <c r="S447">
        <v>37</v>
      </c>
      <c r="T447" t="s">
        <v>635</v>
      </c>
      <c r="U447" t="s">
        <v>2009</v>
      </c>
      <c r="V447" t="s">
        <v>2024</v>
      </c>
      <c r="W447" t="s">
        <v>2016</v>
      </c>
      <c r="X447" t="s">
        <v>2039</v>
      </c>
    </row>
    <row r="448" spans="1:24" x14ac:dyDescent="0.3">
      <c r="A448" t="s">
        <v>1327</v>
      </c>
      <c r="B448" t="s">
        <v>695</v>
      </c>
      <c r="C448" t="s">
        <v>827</v>
      </c>
      <c r="D448">
        <v>43</v>
      </c>
      <c r="E448">
        <v>12679</v>
      </c>
      <c r="F448">
        <v>56.75</v>
      </c>
      <c r="G448" s="8" t="s">
        <v>2096</v>
      </c>
      <c r="H448" t="s">
        <v>1746</v>
      </c>
      <c r="I448">
        <v>10365</v>
      </c>
      <c r="J448">
        <v>4404707</v>
      </c>
      <c r="K448">
        <v>4</v>
      </c>
      <c r="L448">
        <v>35</v>
      </c>
      <c r="M448" t="s">
        <v>227</v>
      </c>
      <c r="N448" s="6" t="s">
        <v>2407</v>
      </c>
      <c r="R448">
        <v>4</v>
      </c>
      <c r="S448">
        <v>35</v>
      </c>
      <c r="T448" t="s">
        <v>1907</v>
      </c>
      <c r="U448" t="s">
        <v>2009</v>
      </c>
      <c r="V448" t="s">
        <v>2024</v>
      </c>
      <c r="W448" t="s">
        <v>2016</v>
      </c>
      <c r="X448" t="s">
        <v>2039</v>
      </c>
    </row>
    <row r="449" spans="1:24" x14ac:dyDescent="0.3">
      <c r="A449" t="s">
        <v>1564</v>
      </c>
      <c r="B449" t="s">
        <v>3815</v>
      </c>
      <c r="D449">
        <v>43.2</v>
      </c>
      <c r="E449">
        <v>12270</v>
      </c>
      <c r="F449">
        <v>56.5</v>
      </c>
      <c r="G449" s="11"/>
      <c r="H449" t="s">
        <v>340</v>
      </c>
      <c r="I449">
        <v>12143</v>
      </c>
      <c r="J449">
        <v>5980333</v>
      </c>
      <c r="M449" t="s">
        <v>1691</v>
      </c>
      <c r="N449" s="6" t="s">
        <v>2168</v>
      </c>
      <c r="O449">
        <v>10</v>
      </c>
      <c r="P449">
        <v>35</v>
      </c>
      <c r="Q449">
        <v>12</v>
      </c>
      <c r="R449">
        <v>10</v>
      </c>
      <c r="S449">
        <v>35</v>
      </c>
      <c r="T449" t="s">
        <v>1907</v>
      </c>
      <c r="U449" t="s">
        <v>2009</v>
      </c>
      <c r="V449" t="s">
        <v>2024</v>
      </c>
      <c r="W449" t="s">
        <v>2016</v>
      </c>
      <c r="X449" t="s">
        <v>2039</v>
      </c>
    </row>
    <row r="450" spans="1:24" x14ac:dyDescent="0.3">
      <c r="A450" t="s">
        <v>1045</v>
      </c>
      <c r="B450" t="s">
        <v>404</v>
      </c>
      <c r="C450" t="s">
        <v>748</v>
      </c>
      <c r="D450">
        <v>35.64</v>
      </c>
      <c r="E450">
        <v>13164</v>
      </c>
      <c r="F450">
        <v>50.8</v>
      </c>
      <c r="G450" s="11"/>
      <c r="H450" t="s">
        <v>1746</v>
      </c>
      <c r="I450">
        <v>13106</v>
      </c>
      <c r="J450">
        <v>5153485</v>
      </c>
      <c r="K450">
        <v>3</v>
      </c>
      <c r="L450">
        <v>40</v>
      </c>
      <c r="M450" t="s">
        <v>227</v>
      </c>
      <c r="N450" s="6" t="s">
        <v>2289</v>
      </c>
      <c r="O450">
        <v>9</v>
      </c>
      <c r="P450">
        <v>40</v>
      </c>
      <c r="Q450">
        <v>8</v>
      </c>
      <c r="R450">
        <v>3</v>
      </c>
      <c r="S450">
        <v>40</v>
      </c>
      <c r="T450" t="s">
        <v>1908</v>
      </c>
      <c r="U450" t="s">
        <v>2009</v>
      </c>
      <c r="V450" t="s">
        <v>2024</v>
      </c>
      <c r="W450" t="s">
        <v>2015</v>
      </c>
      <c r="X450" t="s">
        <v>3039</v>
      </c>
    </row>
    <row r="451" spans="1:24" x14ac:dyDescent="0.3">
      <c r="A451" t="s">
        <v>1296</v>
      </c>
      <c r="B451" t="s">
        <v>3816</v>
      </c>
      <c r="D451">
        <v>45.719000000000001</v>
      </c>
      <c r="E451">
        <v>12685</v>
      </c>
      <c r="F451">
        <v>52</v>
      </c>
      <c r="G451" s="11"/>
      <c r="H451" t="s">
        <v>1746</v>
      </c>
      <c r="I451">
        <v>12683</v>
      </c>
      <c r="J451">
        <v>6561620</v>
      </c>
      <c r="K451">
        <v>2</v>
      </c>
      <c r="L451">
        <v>32</v>
      </c>
      <c r="M451" t="s">
        <v>227</v>
      </c>
      <c r="N451" s="6" t="s">
        <v>2181</v>
      </c>
      <c r="O451">
        <v>5</v>
      </c>
      <c r="P451">
        <v>37.5</v>
      </c>
      <c r="Q451">
        <v>5</v>
      </c>
      <c r="R451">
        <v>2</v>
      </c>
      <c r="S451">
        <v>37.5</v>
      </c>
      <c r="T451" t="s">
        <v>651</v>
      </c>
      <c r="U451" t="s">
        <v>2009</v>
      </c>
      <c r="V451" t="s">
        <v>2024</v>
      </c>
      <c r="W451" t="s">
        <v>2016</v>
      </c>
      <c r="X451" t="s">
        <v>2039</v>
      </c>
    </row>
    <row r="452" spans="1:24" x14ac:dyDescent="0.3">
      <c r="A452" t="s">
        <v>849</v>
      </c>
      <c r="B452" t="s">
        <v>26</v>
      </c>
      <c r="D452">
        <v>27.656099999999999</v>
      </c>
      <c r="E452">
        <v>9121</v>
      </c>
      <c r="F452">
        <v>49.35</v>
      </c>
      <c r="G452" s="11"/>
      <c r="H452" t="s">
        <v>1746</v>
      </c>
      <c r="I452">
        <v>9140</v>
      </c>
      <c r="J452">
        <v>4507684</v>
      </c>
      <c r="K452">
        <v>1</v>
      </c>
      <c r="L452">
        <v>42</v>
      </c>
      <c r="M452" t="s">
        <v>226</v>
      </c>
      <c r="N452" s="6" t="s">
        <v>2408</v>
      </c>
      <c r="O452">
        <v>8</v>
      </c>
      <c r="P452">
        <v>41</v>
      </c>
      <c r="Q452">
        <v>3</v>
      </c>
      <c r="R452">
        <v>1</v>
      </c>
      <c r="S452">
        <v>42</v>
      </c>
      <c r="T452" t="s">
        <v>598</v>
      </c>
      <c r="U452" t="s">
        <v>2009</v>
      </c>
      <c r="V452" t="s">
        <v>2024</v>
      </c>
      <c r="W452" t="s">
        <v>2016</v>
      </c>
      <c r="X452" t="s">
        <v>2039</v>
      </c>
    </row>
    <row r="453" spans="1:24" ht="15.6" customHeight="1" x14ac:dyDescent="0.3">
      <c r="A453" t="s">
        <v>1093</v>
      </c>
      <c r="B453" t="s">
        <v>429</v>
      </c>
      <c r="D453">
        <f>AVERAGE(41.683,37.057,40.416,41.037)</f>
        <v>40.048250000000003</v>
      </c>
      <c r="E453">
        <f>AVERAGE(10792,10586,11978,10785)</f>
        <v>11035.25</v>
      </c>
      <c r="F453">
        <v>48.9</v>
      </c>
      <c r="G453" s="11"/>
      <c r="H453" t="s">
        <v>1746</v>
      </c>
      <c r="I453">
        <v>9759</v>
      </c>
      <c r="J453">
        <v>4961998</v>
      </c>
      <c r="K453">
        <v>2</v>
      </c>
      <c r="L453">
        <v>44</v>
      </c>
      <c r="M453" t="s">
        <v>228</v>
      </c>
      <c r="N453" s="6" t="s">
        <v>2409</v>
      </c>
      <c r="R453">
        <v>2</v>
      </c>
      <c r="S453">
        <v>44</v>
      </c>
      <c r="T453" t="s">
        <v>1909</v>
      </c>
      <c r="U453" t="s">
        <v>2009</v>
      </c>
      <c r="V453" t="s">
        <v>2024</v>
      </c>
      <c r="W453" t="s">
        <v>2016</v>
      </c>
      <c r="X453" t="s">
        <v>2039</v>
      </c>
    </row>
    <row r="454" spans="1:24" ht="15.6" customHeight="1" x14ac:dyDescent="0.3">
      <c r="A454" t="s">
        <v>1368</v>
      </c>
      <c r="B454" t="s">
        <v>718</v>
      </c>
      <c r="D454">
        <v>39.1</v>
      </c>
      <c r="E454">
        <v>10379</v>
      </c>
      <c r="F454">
        <v>49.5</v>
      </c>
      <c r="G454" s="11"/>
      <c r="H454" t="s">
        <v>1746</v>
      </c>
      <c r="I454">
        <v>11177</v>
      </c>
      <c r="J454">
        <v>4951514</v>
      </c>
      <c r="K454">
        <v>15</v>
      </c>
      <c r="L454">
        <v>45</v>
      </c>
      <c r="M454" t="s">
        <v>226</v>
      </c>
      <c r="N454" s="6" t="s">
        <v>2410</v>
      </c>
      <c r="R454">
        <v>15</v>
      </c>
      <c r="S454">
        <v>45</v>
      </c>
      <c r="T454" t="s">
        <v>1909</v>
      </c>
      <c r="U454" t="s">
        <v>2009</v>
      </c>
      <c r="V454" t="s">
        <v>2024</v>
      </c>
      <c r="W454" t="s">
        <v>2016</v>
      </c>
      <c r="X454" t="s">
        <v>2039</v>
      </c>
    </row>
    <row r="455" spans="1:24" ht="15.6" customHeight="1" x14ac:dyDescent="0.3">
      <c r="A455" t="s">
        <v>1298</v>
      </c>
      <c r="B455" t="s">
        <v>800</v>
      </c>
      <c r="C455" t="s">
        <v>801</v>
      </c>
      <c r="D455">
        <v>51.7</v>
      </c>
      <c r="F455">
        <v>48</v>
      </c>
      <c r="G455" s="11"/>
      <c r="H455" t="s">
        <v>383</v>
      </c>
      <c r="I455" t="s">
        <v>383</v>
      </c>
      <c r="J455" t="s">
        <v>383</v>
      </c>
      <c r="K455">
        <v>10</v>
      </c>
      <c r="L455">
        <v>37</v>
      </c>
      <c r="M455" t="s">
        <v>228</v>
      </c>
      <c r="N455" s="6" t="s">
        <v>2411</v>
      </c>
      <c r="R455">
        <v>10</v>
      </c>
      <c r="S455">
        <v>37</v>
      </c>
      <c r="T455" t="s">
        <v>1910</v>
      </c>
      <c r="U455" t="s">
        <v>2009</v>
      </c>
      <c r="V455" t="s">
        <v>2024</v>
      </c>
      <c r="W455" t="s">
        <v>2016</v>
      </c>
      <c r="X455" t="s">
        <v>2039</v>
      </c>
    </row>
    <row r="456" spans="1:24" ht="15.6" customHeight="1" x14ac:dyDescent="0.3">
      <c r="A456" t="s">
        <v>1566</v>
      </c>
      <c r="B456" t="s">
        <v>3817</v>
      </c>
      <c r="C456" t="s">
        <v>1712</v>
      </c>
      <c r="D456">
        <v>46.052</v>
      </c>
      <c r="E456">
        <v>13375</v>
      </c>
      <c r="F456">
        <v>58</v>
      </c>
      <c r="G456" s="11"/>
      <c r="H456" t="s">
        <v>3707</v>
      </c>
      <c r="I456">
        <v>13375</v>
      </c>
      <c r="J456">
        <v>5585608</v>
      </c>
      <c r="M456" t="s">
        <v>1691</v>
      </c>
      <c r="N456" s="6" t="s">
        <v>2168</v>
      </c>
      <c r="O456">
        <v>9</v>
      </c>
      <c r="P456">
        <v>47</v>
      </c>
      <c r="Q456">
        <v>25</v>
      </c>
      <c r="R456">
        <v>9</v>
      </c>
      <c r="S456">
        <v>47</v>
      </c>
      <c r="T456" t="s">
        <v>1911</v>
      </c>
      <c r="U456" t="s">
        <v>2009</v>
      </c>
      <c r="V456" t="s">
        <v>2024</v>
      </c>
      <c r="W456" t="s">
        <v>2016</v>
      </c>
      <c r="X456" t="s">
        <v>2039</v>
      </c>
    </row>
    <row r="457" spans="1:24" x14ac:dyDescent="0.3">
      <c r="A457" t="s">
        <v>1146</v>
      </c>
      <c r="B457" t="s">
        <v>3818</v>
      </c>
      <c r="C457" t="s">
        <v>555</v>
      </c>
      <c r="D457">
        <v>34.036999999999999</v>
      </c>
      <c r="E457">
        <v>13206</v>
      </c>
      <c r="F457">
        <v>53.37</v>
      </c>
      <c r="G457" s="11"/>
      <c r="H457" t="s">
        <v>1746</v>
      </c>
      <c r="I457">
        <v>13191</v>
      </c>
      <c r="J457">
        <v>5348204</v>
      </c>
      <c r="K457">
        <v>12</v>
      </c>
      <c r="L457">
        <v>40</v>
      </c>
      <c r="M457" t="s">
        <v>226</v>
      </c>
      <c r="N457" s="6" t="s">
        <v>2246</v>
      </c>
      <c r="O457" s="9"/>
      <c r="P457" s="9"/>
      <c r="R457">
        <v>12</v>
      </c>
      <c r="S457">
        <v>40</v>
      </c>
      <c r="T457" t="s">
        <v>652</v>
      </c>
      <c r="U457" t="s">
        <v>2009</v>
      </c>
      <c r="V457" t="s">
        <v>2024</v>
      </c>
      <c r="W457" t="s">
        <v>2015</v>
      </c>
      <c r="X457" t="s">
        <v>3039</v>
      </c>
    </row>
    <row r="458" spans="1:24" x14ac:dyDescent="0.3">
      <c r="A458" t="s">
        <v>1148</v>
      </c>
      <c r="B458" t="s">
        <v>229</v>
      </c>
      <c r="C458" t="s">
        <v>351</v>
      </c>
      <c r="D458">
        <v>48.661000000000001</v>
      </c>
      <c r="E458">
        <v>16587</v>
      </c>
      <c r="F458">
        <v>45.5</v>
      </c>
      <c r="G458" s="11"/>
      <c r="H458" t="s">
        <v>340</v>
      </c>
      <c r="I458">
        <v>16562</v>
      </c>
      <c r="J458">
        <v>7427128</v>
      </c>
      <c r="K458">
        <v>4</v>
      </c>
      <c r="L458">
        <v>30</v>
      </c>
      <c r="M458" t="s">
        <v>227</v>
      </c>
      <c r="N458" s="6" t="s">
        <v>2412</v>
      </c>
      <c r="O458">
        <v>-2.5</v>
      </c>
      <c r="P458">
        <v>30</v>
      </c>
      <c r="Q458">
        <v>4</v>
      </c>
      <c r="R458">
        <v>-2.5</v>
      </c>
      <c r="S458">
        <v>30</v>
      </c>
      <c r="T458" t="s">
        <v>1912</v>
      </c>
      <c r="U458" t="s">
        <v>2009</v>
      </c>
      <c r="V458" t="s">
        <v>2024</v>
      </c>
      <c r="W458" t="s">
        <v>2016</v>
      </c>
      <c r="X458" t="s">
        <v>2039</v>
      </c>
    </row>
    <row r="459" spans="1:24" x14ac:dyDescent="0.3">
      <c r="A459" t="s">
        <v>1094</v>
      </c>
      <c r="B459" t="s">
        <v>507</v>
      </c>
      <c r="D459">
        <v>14.1669</v>
      </c>
      <c r="F459">
        <v>36.5</v>
      </c>
      <c r="G459" s="11"/>
      <c r="H459" t="s">
        <v>383</v>
      </c>
      <c r="I459" t="s">
        <v>383</v>
      </c>
      <c r="J459" t="s">
        <v>383</v>
      </c>
      <c r="K459">
        <v>0</v>
      </c>
      <c r="L459">
        <v>35</v>
      </c>
      <c r="M459" t="s">
        <v>227</v>
      </c>
      <c r="N459" s="6" t="s">
        <v>2234</v>
      </c>
      <c r="R459">
        <v>0</v>
      </c>
      <c r="S459">
        <v>35</v>
      </c>
      <c r="T459" t="s">
        <v>1913</v>
      </c>
      <c r="U459" t="s">
        <v>2009</v>
      </c>
      <c r="V459" t="s">
        <v>2024</v>
      </c>
      <c r="W459" t="s">
        <v>2016</v>
      </c>
      <c r="X459" t="s">
        <v>3045</v>
      </c>
    </row>
    <row r="460" spans="1:24" x14ac:dyDescent="0.3">
      <c r="A460" t="s">
        <v>1020</v>
      </c>
      <c r="B460" t="s">
        <v>280</v>
      </c>
      <c r="C460" t="s">
        <v>76</v>
      </c>
      <c r="D460">
        <v>8.8740000000000006</v>
      </c>
      <c r="E460">
        <f>AVERAGE(5325,5177)</f>
        <v>5251</v>
      </c>
      <c r="F460">
        <v>47.7</v>
      </c>
      <c r="G460" s="11"/>
      <c r="H460" t="s">
        <v>1746</v>
      </c>
      <c r="I460">
        <v>6801</v>
      </c>
      <c r="J460">
        <v>2869688</v>
      </c>
      <c r="K460">
        <v>9</v>
      </c>
      <c r="L460">
        <v>52</v>
      </c>
      <c r="M460" t="s">
        <v>226</v>
      </c>
      <c r="N460" s="6" t="s">
        <v>2413</v>
      </c>
      <c r="Q460" t="s">
        <v>262</v>
      </c>
      <c r="R460">
        <v>9</v>
      </c>
      <c r="S460">
        <v>52</v>
      </c>
      <c r="T460" t="s">
        <v>1913</v>
      </c>
      <c r="U460" t="s">
        <v>2009</v>
      </c>
      <c r="V460" t="s">
        <v>2024</v>
      </c>
      <c r="W460" t="s">
        <v>2016</v>
      </c>
      <c r="X460" t="s">
        <v>3045</v>
      </c>
    </row>
    <row r="461" spans="1:24" x14ac:dyDescent="0.3">
      <c r="A461" t="s">
        <v>1369</v>
      </c>
      <c r="B461" t="s">
        <v>111</v>
      </c>
      <c r="D461">
        <v>46.4</v>
      </c>
      <c r="E461">
        <v>16776</v>
      </c>
      <c r="F461">
        <v>47</v>
      </c>
      <c r="G461" s="11"/>
      <c r="H461" t="s">
        <v>1746</v>
      </c>
      <c r="I461">
        <v>16696</v>
      </c>
      <c r="J461">
        <v>7153217</v>
      </c>
      <c r="K461">
        <v>10</v>
      </c>
      <c r="L461">
        <v>35</v>
      </c>
      <c r="M461" t="s">
        <v>226</v>
      </c>
      <c r="N461" s="6" t="s">
        <v>2414</v>
      </c>
      <c r="R461">
        <v>10</v>
      </c>
      <c r="S461">
        <v>35</v>
      </c>
      <c r="T461" t="s">
        <v>1914</v>
      </c>
      <c r="U461" t="s">
        <v>2009</v>
      </c>
      <c r="V461" t="s">
        <v>2024</v>
      </c>
      <c r="W461" t="s">
        <v>2016</v>
      </c>
      <c r="X461" t="s">
        <v>2039</v>
      </c>
    </row>
    <row r="462" spans="1:24" x14ac:dyDescent="0.3">
      <c r="A462" t="s">
        <v>1096</v>
      </c>
      <c r="B462" t="s">
        <v>8</v>
      </c>
      <c r="D462">
        <v>110.881</v>
      </c>
      <c r="E462">
        <v>9961</v>
      </c>
      <c r="F462">
        <v>44.8</v>
      </c>
      <c r="G462" s="11"/>
      <c r="H462" t="s">
        <v>1746</v>
      </c>
      <c r="I462">
        <v>8866</v>
      </c>
      <c r="J462">
        <v>4253013</v>
      </c>
      <c r="K462">
        <v>4</v>
      </c>
      <c r="L462">
        <v>25</v>
      </c>
      <c r="M462" t="s">
        <v>226</v>
      </c>
      <c r="N462" s="6" t="s">
        <v>2415</v>
      </c>
      <c r="R462">
        <v>4</v>
      </c>
      <c r="S462">
        <v>25</v>
      </c>
      <c r="T462" t="s">
        <v>653</v>
      </c>
      <c r="U462" t="s">
        <v>2009</v>
      </c>
      <c r="V462" t="s">
        <v>2024</v>
      </c>
      <c r="W462" t="s">
        <v>2016</v>
      </c>
      <c r="X462" t="s">
        <v>2039</v>
      </c>
    </row>
    <row r="463" spans="1:24" x14ac:dyDescent="0.3">
      <c r="A463" t="s">
        <v>1097</v>
      </c>
      <c r="B463" t="s">
        <v>124</v>
      </c>
      <c r="D463">
        <v>49.647599999999997</v>
      </c>
      <c r="E463">
        <v>11247</v>
      </c>
      <c r="F463">
        <v>50.35</v>
      </c>
      <c r="G463" s="8" t="s">
        <v>2130</v>
      </c>
      <c r="H463" t="s">
        <v>383</v>
      </c>
      <c r="I463" t="s">
        <v>383</v>
      </c>
      <c r="J463" t="s">
        <v>383</v>
      </c>
      <c r="K463">
        <v>4</v>
      </c>
      <c r="L463">
        <v>32</v>
      </c>
      <c r="M463" t="s">
        <v>227</v>
      </c>
      <c r="N463" s="6" t="s">
        <v>2416</v>
      </c>
      <c r="R463">
        <v>4</v>
      </c>
      <c r="S463">
        <v>32</v>
      </c>
      <c r="T463" t="s">
        <v>1915</v>
      </c>
      <c r="U463" t="s">
        <v>2009</v>
      </c>
      <c r="V463" t="s">
        <v>2024</v>
      </c>
      <c r="W463" t="s">
        <v>2016</v>
      </c>
      <c r="X463" t="s">
        <v>2039</v>
      </c>
    </row>
    <row r="464" spans="1:24" x14ac:dyDescent="0.3">
      <c r="A464" t="s">
        <v>1568</v>
      </c>
      <c r="B464" t="s">
        <v>3819</v>
      </c>
      <c r="D464">
        <v>54.6</v>
      </c>
      <c r="F464">
        <v>42</v>
      </c>
      <c r="G464" s="11"/>
      <c r="H464" t="s">
        <v>383</v>
      </c>
      <c r="I464" t="s">
        <v>383</v>
      </c>
      <c r="J464" t="s">
        <v>383</v>
      </c>
      <c r="K464">
        <v>4</v>
      </c>
      <c r="L464">
        <v>35</v>
      </c>
      <c r="M464" t="s">
        <v>1691</v>
      </c>
      <c r="N464" s="6" t="s">
        <v>2168</v>
      </c>
      <c r="Q464">
        <v>6</v>
      </c>
      <c r="R464">
        <v>4</v>
      </c>
      <c r="S464">
        <v>35</v>
      </c>
      <c r="T464" t="s">
        <v>1916</v>
      </c>
      <c r="U464" t="s">
        <v>2009</v>
      </c>
      <c r="V464" t="s">
        <v>2024</v>
      </c>
      <c r="W464" t="s">
        <v>2016</v>
      </c>
      <c r="X464" t="s">
        <v>2039</v>
      </c>
    </row>
    <row r="465" spans="1:24" x14ac:dyDescent="0.3">
      <c r="A465" t="s">
        <v>1099</v>
      </c>
      <c r="B465" t="s">
        <v>281</v>
      </c>
      <c r="D465">
        <v>31.783999999999999</v>
      </c>
      <c r="E465">
        <v>8640</v>
      </c>
      <c r="F465">
        <v>50.3</v>
      </c>
      <c r="G465" s="11"/>
      <c r="H465" t="s">
        <v>383</v>
      </c>
      <c r="I465" t="s">
        <v>383</v>
      </c>
      <c r="J465" t="s">
        <v>383</v>
      </c>
      <c r="K465">
        <v>6</v>
      </c>
      <c r="L465">
        <v>31</v>
      </c>
      <c r="M465" t="s">
        <v>226</v>
      </c>
      <c r="N465" s="6" t="s">
        <v>2417</v>
      </c>
      <c r="O465">
        <v>7</v>
      </c>
      <c r="P465">
        <v>38</v>
      </c>
      <c r="Q465">
        <v>10</v>
      </c>
      <c r="R465">
        <v>6</v>
      </c>
      <c r="S465">
        <v>38</v>
      </c>
      <c r="T465" t="s">
        <v>1797</v>
      </c>
      <c r="U465" t="s">
        <v>2009</v>
      </c>
      <c r="V465" t="s">
        <v>2024</v>
      </c>
      <c r="W465" t="s">
        <v>2016</v>
      </c>
      <c r="X465" t="s">
        <v>2039</v>
      </c>
    </row>
    <row r="466" spans="1:24" x14ac:dyDescent="0.3">
      <c r="A466" t="s">
        <v>1100</v>
      </c>
      <c r="B466" t="s">
        <v>322</v>
      </c>
      <c r="C466" t="s">
        <v>826</v>
      </c>
      <c r="D466">
        <v>78.599999999999994</v>
      </c>
      <c r="E466">
        <v>27481</v>
      </c>
      <c r="F466">
        <v>51</v>
      </c>
      <c r="G466" s="11"/>
      <c r="H466" t="s">
        <v>340</v>
      </c>
      <c r="I466">
        <v>27479</v>
      </c>
      <c r="J466">
        <v>9450201</v>
      </c>
      <c r="K466">
        <v>8</v>
      </c>
      <c r="L466">
        <v>35</v>
      </c>
      <c r="M466" t="s">
        <v>226</v>
      </c>
      <c r="N466" s="6" t="s">
        <v>2340</v>
      </c>
      <c r="R466">
        <v>8</v>
      </c>
      <c r="S466">
        <v>35</v>
      </c>
      <c r="T466" t="s">
        <v>1919</v>
      </c>
      <c r="U466" t="s">
        <v>2009</v>
      </c>
      <c r="V466" t="s">
        <v>2024</v>
      </c>
      <c r="W466" t="s">
        <v>2015</v>
      </c>
      <c r="X466" t="s">
        <v>3043</v>
      </c>
    </row>
    <row r="467" spans="1:24" x14ac:dyDescent="0.3">
      <c r="A467" t="s">
        <v>1101</v>
      </c>
      <c r="B467" t="s">
        <v>158</v>
      </c>
      <c r="D467">
        <v>12.597</v>
      </c>
      <c r="E467">
        <v>5675</v>
      </c>
      <c r="F467">
        <v>30.05</v>
      </c>
      <c r="G467" s="11"/>
      <c r="H467" t="s">
        <v>1746</v>
      </c>
      <c r="I467">
        <v>5643</v>
      </c>
      <c r="J467">
        <v>2707348</v>
      </c>
      <c r="K467">
        <v>11</v>
      </c>
      <c r="L467">
        <v>39</v>
      </c>
      <c r="M467" t="s">
        <v>226</v>
      </c>
      <c r="N467" s="6" t="s">
        <v>2418</v>
      </c>
      <c r="R467">
        <v>11</v>
      </c>
      <c r="S467">
        <v>39</v>
      </c>
      <c r="T467" t="s">
        <v>1917</v>
      </c>
      <c r="U467" t="s">
        <v>2009</v>
      </c>
      <c r="V467" t="s">
        <v>2024</v>
      </c>
      <c r="W467" t="s">
        <v>2016</v>
      </c>
      <c r="X467" t="s">
        <v>3045</v>
      </c>
    </row>
    <row r="468" spans="1:24" x14ac:dyDescent="0.3">
      <c r="A468" t="s">
        <v>1301</v>
      </c>
      <c r="B468" t="s">
        <v>809</v>
      </c>
      <c r="C468" t="s">
        <v>808</v>
      </c>
      <c r="D468">
        <v>31.5</v>
      </c>
      <c r="F468">
        <v>45.5</v>
      </c>
      <c r="G468" s="11"/>
      <c r="H468" t="s">
        <v>383</v>
      </c>
      <c r="I468" t="s">
        <v>383</v>
      </c>
      <c r="J468" t="s">
        <v>383</v>
      </c>
      <c r="K468">
        <v>10</v>
      </c>
      <c r="L468">
        <v>45</v>
      </c>
      <c r="M468" t="s">
        <v>227</v>
      </c>
      <c r="N468" s="6" t="s">
        <v>2419</v>
      </c>
      <c r="R468">
        <v>10</v>
      </c>
      <c r="S468">
        <v>45</v>
      </c>
      <c r="T468" t="s">
        <v>1918</v>
      </c>
      <c r="U468" t="s">
        <v>2009</v>
      </c>
      <c r="V468" t="s">
        <v>2024</v>
      </c>
      <c r="W468" t="s">
        <v>2016</v>
      </c>
      <c r="X468" t="s">
        <v>2039</v>
      </c>
    </row>
    <row r="469" spans="1:24" x14ac:dyDescent="0.3">
      <c r="A469" t="s">
        <v>1302</v>
      </c>
      <c r="B469" t="s">
        <v>810</v>
      </c>
      <c r="C469" t="s">
        <v>1696</v>
      </c>
      <c r="D469">
        <v>36</v>
      </c>
      <c r="F469">
        <v>47</v>
      </c>
      <c r="G469" s="11"/>
      <c r="H469" t="s">
        <v>383</v>
      </c>
      <c r="I469" t="s">
        <v>383</v>
      </c>
      <c r="J469" t="s">
        <v>383</v>
      </c>
      <c r="K469">
        <v>10</v>
      </c>
      <c r="L469">
        <v>40</v>
      </c>
      <c r="M469" t="s">
        <v>227</v>
      </c>
      <c r="N469" s="6" t="s">
        <v>2419</v>
      </c>
      <c r="R469">
        <v>10</v>
      </c>
      <c r="S469">
        <v>40</v>
      </c>
      <c r="T469" t="s">
        <v>1918</v>
      </c>
      <c r="U469" t="s">
        <v>2009</v>
      </c>
      <c r="V469" t="s">
        <v>2024</v>
      </c>
      <c r="W469" t="s">
        <v>2016</v>
      </c>
      <c r="X469" t="s">
        <v>2039</v>
      </c>
    </row>
    <row r="470" spans="1:24" x14ac:dyDescent="0.3">
      <c r="A470" t="s">
        <v>1102</v>
      </c>
      <c r="B470" t="s">
        <v>515</v>
      </c>
      <c r="C470" t="s">
        <v>696</v>
      </c>
      <c r="D470">
        <f>AVERAGE(32.365,30.105)</f>
        <v>31.234999999999999</v>
      </c>
      <c r="E470">
        <f>AVERAGE(9230,9270)</f>
        <v>9250</v>
      </c>
      <c r="F470">
        <v>45.87</v>
      </c>
      <c r="G470" s="11"/>
      <c r="H470" t="s">
        <v>1746</v>
      </c>
      <c r="I470">
        <v>9264</v>
      </c>
      <c r="J470">
        <v>4547040</v>
      </c>
      <c r="K470">
        <v>8</v>
      </c>
      <c r="L470">
        <v>47</v>
      </c>
      <c r="M470" t="s">
        <v>226</v>
      </c>
      <c r="N470" s="6" t="s">
        <v>2420</v>
      </c>
      <c r="Q470" s="14" t="s">
        <v>773</v>
      </c>
      <c r="R470">
        <v>8</v>
      </c>
      <c r="S470">
        <v>47</v>
      </c>
      <c r="T470" t="s">
        <v>1918</v>
      </c>
      <c r="U470" t="s">
        <v>2009</v>
      </c>
      <c r="V470" t="s">
        <v>2024</v>
      </c>
      <c r="W470" t="s">
        <v>2016</v>
      </c>
      <c r="X470" t="s">
        <v>2039</v>
      </c>
    </row>
    <row r="471" spans="1:24" x14ac:dyDescent="0.3">
      <c r="A471" t="s">
        <v>1290</v>
      </c>
      <c r="B471" t="s">
        <v>3820</v>
      </c>
      <c r="D471">
        <v>19.510000000000002</v>
      </c>
      <c r="E471">
        <v>7537</v>
      </c>
      <c r="F471">
        <v>56</v>
      </c>
      <c r="G471" s="11"/>
      <c r="H471" t="s">
        <v>340</v>
      </c>
      <c r="I471">
        <v>7537</v>
      </c>
      <c r="J471">
        <v>3811428</v>
      </c>
      <c r="K471">
        <v>5</v>
      </c>
      <c r="L471">
        <v>37</v>
      </c>
      <c r="M471" t="s">
        <v>227</v>
      </c>
      <c r="N471" s="6" t="s">
        <v>2421</v>
      </c>
      <c r="R471">
        <v>5</v>
      </c>
      <c r="S471">
        <v>37</v>
      </c>
      <c r="T471" t="s">
        <v>1919</v>
      </c>
      <c r="U471" t="s">
        <v>2009</v>
      </c>
      <c r="V471" t="s">
        <v>2024</v>
      </c>
      <c r="W471" t="s">
        <v>2015</v>
      </c>
      <c r="X471" t="s">
        <v>3043</v>
      </c>
    </row>
    <row r="472" spans="1:24" x14ac:dyDescent="0.3">
      <c r="A472" t="s">
        <v>1103</v>
      </c>
      <c r="B472" t="s">
        <v>71</v>
      </c>
      <c r="C472" t="s">
        <v>349</v>
      </c>
      <c r="D472">
        <v>37.213000000000001</v>
      </c>
      <c r="E472">
        <v>12380</v>
      </c>
      <c r="F472">
        <v>50.3</v>
      </c>
      <c r="G472" s="11"/>
      <c r="H472" t="s">
        <v>340</v>
      </c>
      <c r="I472">
        <v>16002</v>
      </c>
      <c r="J472">
        <v>6076471</v>
      </c>
      <c r="K472">
        <v>5</v>
      </c>
      <c r="L472">
        <v>35</v>
      </c>
      <c r="M472" t="s">
        <v>227</v>
      </c>
      <c r="N472" s="6" t="s">
        <v>2422</v>
      </c>
      <c r="O472">
        <v>4</v>
      </c>
      <c r="P472">
        <v>32</v>
      </c>
      <c r="Q472">
        <v>4</v>
      </c>
      <c r="R472">
        <v>4</v>
      </c>
      <c r="S472">
        <v>35</v>
      </c>
      <c r="T472" t="s">
        <v>1878</v>
      </c>
      <c r="U472" t="s">
        <v>2009</v>
      </c>
      <c r="V472" t="s">
        <v>2024</v>
      </c>
      <c r="W472" t="s">
        <v>2016</v>
      </c>
      <c r="X472" t="s">
        <v>2039</v>
      </c>
    </row>
    <row r="473" spans="1:24" x14ac:dyDescent="0.3">
      <c r="A473" t="s">
        <v>1104</v>
      </c>
      <c r="B473" t="s">
        <v>7</v>
      </c>
      <c r="D473">
        <v>58.301000000000002</v>
      </c>
      <c r="E473">
        <v>17968</v>
      </c>
      <c r="F473">
        <v>50</v>
      </c>
      <c r="G473" s="11"/>
      <c r="H473" t="s">
        <v>1746</v>
      </c>
      <c r="I473">
        <v>11649</v>
      </c>
      <c r="J473">
        <v>3708763</v>
      </c>
      <c r="K473">
        <v>2</v>
      </c>
      <c r="L473">
        <v>28</v>
      </c>
      <c r="M473" t="s">
        <v>228</v>
      </c>
      <c r="N473" s="6" t="s">
        <v>2225</v>
      </c>
      <c r="Q473" t="s">
        <v>822</v>
      </c>
      <c r="R473">
        <v>2</v>
      </c>
      <c r="S473">
        <v>28</v>
      </c>
      <c r="T473" t="s">
        <v>1920</v>
      </c>
      <c r="U473" t="s">
        <v>2009</v>
      </c>
      <c r="V473" t="s">
        <v>2024</v>
      </c>
      <c r="W473" t="s">
        <v>2015</v>
      </c>
      <c r="X473" t="s">
        <v>3039</v>
      </c>
    </row>
    <row r="474" spans="1:24" x14ac:dyDescent="0.3">
      <c r="A474" t="s">
        <v>1371</v>
      </c>
      <c r="B474" t="s">
        <v>719</v>
      </c>
      <c r="D474">
        <v>37.799999999999997</v>
      </c>
      <c r="E474">
        <v>13390</v>
      </c>
      <c r="F474">
        <v>45.5</v>
      </c>
      <c r="G474" s="11"/>
      <c r="H474" t="s">
        <v>1746</v>
      </c>
      <c r="I474">
        <v>13712</v>
      </c>
      <c r="J474">
        <v>6414736</v>
      </c>
      <c r="K474">
        <v>10</v>
      </c>
      <c r="L474">
        <v>35</v>
      </c>
      <c r="M474" t="s">
        <v>227</v>
      </c>
      <c r="N474" s="6" t="s">
        <v>2423</v>
      </c>
      <c r="R474">
        <v>10</v>
      </c>
      <c r="S474">
        <v>35</v>
      </c>
      <c r="T474" t="s">
        <v>654</v>
      </c>
      <c r="U474" t="s">
        <v>2009</v>
      </c>
      <c r="V474" t="s">
        <v>2024</v>
      </c>
      <c r="W474" t="s">
        <v>2016</v>
      </c>
      <c r="X474" t="s">
        <v>2039</v>
      </c>
    </row>
    <row r="475" spans="1:24" x14ac:dyDescent="0.3">
      <c r="A475" t="s">
        <v>1105</v>
      </c>
      <c r="B475" t="s">
        <v>197</v>
      </c>
      <c r="D475">
        <f>AVERAGE(30.741,31.454)</f>
        <v>31.0975</v>
      </c>
      <c r="E475">
        <f>AVERAGE(11610,11514)</f>
        <v>11562</v>
      </c>
      <c r="F475">
        <v>48.8</v>
      </c>
      <c r="G475" s="11"/>
      <c r="H475" t="s">
        <v>1746</v>
      </c>
      <c r="I475">
        <v>11372</v>
      </c>
      <c r="J475">
        <v>5328184</v>
      </c>
      <c r="K475">
        <v>-3</v>
      </c>
      <c r="L475">
        <v>30</v>
      </c>
      <c r="M475" t="s">
        <v>226</v>
      </c>
      <c r="N475" s="6" t="s">
        <v>2424</v>
      </c>
      <c r="R475">
        <v>-3</v>
      </c>
      <c r="S475">
        <v>30</v>
      </c>
      <c r="T475" t="s">
        <v>654</v>
      </c>
      <c r="U475" t="s">
        <v>2009</v>
      </c>
      <c r="V475" t="s">
        <v>2024</v>
      </c>
      <c r="W475" t="s">
        <v>2016</v>
      </c>
      <c r="X475" t="s">
        <v>2039</v>
      </c>
    </row>
    <row r="476" spans="1:24" x14ac:dyDescent="0.3">
      <c r="A476" t="s">
        <v>1106</v>
      </c>
      <c r="B476" t="s">
        <v>514</v>
      </c>
      <c r="C476" t="s">
        <v>198</v>
      </c>
      <c r="D476">
        <v>32.375999999999998</v>
      </c>
      <c r="E476">
        <v>10694</v>
      </c>
      <c r="F476">
        <v>47.5</v>
      </c>
      <c r="G476" s="11"/>
      <c r="H476" t="s">
        <v>1746</v>
      </c>
      <c r="I476">
        <v>11550</v>
      </c>
      <c r="J476">
        <v>5457440</v>
      </c>
      <c r="K476">
        <v>-5</v>
      </c>
      <c r="L476">
        <v>30</v>
      </c>
      <c r="M476" t="s">
        <v>227</v>
      </c>
      <c r="N476" s="6" t="s">
        <v>2425</v>
      </c>
      <c r="R476">
        <v>-5</v>
      </c>
      <c r="S476">
        <v>30</v>
      </c>
      <c r="T476" t="s">
        <v>654</v>
      </c>
      <c r="U476" t="s">
        <v>2009</v>
      </c>
      <c r="V476" t="s">
        <v>2024</v>
      </c>
      <c r="W476" t="s">
        <v>2016</v>
      </c>
      <c r="X476" t="s">
        <v>2039</v>
      </c>
    </row>
    <row r="477" spans="1:24" x14ac:dyDescent="0.3">
      <c r="A477" t="s">
        <v>1107</v>
      </c>
      <c r="B477" t="s">
        <v>512</v>
      </c>
      <c r="D477">
        <f>AVERAGE(31.68,32.114)</f>
        <v>31.896999999999998</v>
      </c>
      <c r="E477">
        <f>AVERAGE(12343,11536)</f>
        <v>11939.5</v>
      </c>
      <c r="F477">
        <v>49.3</v>
      </c>
      <c r="G477" s="11"/>
      <c r="H477" t="s">
        <v>1746</v>
      </c>
      <c r="I477">
        <v>12015</v>
      </c>
      <c r="J477">
        <v>5703011</v>
      </c>
      <c r="K477">
        <v>-2</v>
      </c>
      <c r="L477">
        <v>30</v>
      </c>
      <c r="M477" t="s">
        <v>227</v>
      </c>
      <c r="N477" s="6" t="s">
        <v>2329</v>
      </c>
      <c r="R477">
        <v>-2</v>
      </c>
      <c r="S477">
        <v>30</v>
      </c>
      <c r="T477" t="s">
        <v>654</v>
      </c>
      <c r="U477" t="s">
        <v>2009</v>
      </c>
      <c r="V477" t="s">
        <v>2024</v>
      </c>
      <c r="W477" t="s">
        <v>2016</v>
      </c>
      <c r="X477" t="s">
        <v>2039</v>
      </c>
    </row>
    <row r="478" spans="1:24" x14ac:dyDescent="0.3">
      <c r="A478" t="s">
        <v>1372</v>
      </c>
      <c r="B478" t="s">
        <v>720</v>
      </c>
      <c r="D478">
        <v>27.7</v>
      </c>
      <c r="E478">
        <v>10633</v>
      </c>
      <c r="F478">
        <v>51.5</v>
      </c>
      <c r="G478" s="11"/>
      <c r="H478" t="s">
        <v>1746</v>
      </c>
      <c r="I478">
        <v>10686</v>
      </c>
      <c r="J478">
        <v>4970178</v>
      </c>
      <c r="K478">
        <v>15</v>
      </c>
      <c r="L478">
        <v>35</v>
      </c>
      <c r="M478" t="s">
        <v>228</v>
      </c>
      <c r="N478" s="6" t="s">
        <v>2426</v>
      </c>
      <c r="R478">
        <v>15</v>
      </c>
      <c r="S478">
        <v>35</v>
      </c>
      <c r="T478" t="s">
        <v>654</v>
      </c>
      <c r="U478" t="s">
        <v>2009</v>
      </c>
      <c r="V478" t="s">
        <v>2024</v>
      </c>
      <c r="W478" t="s">
        <v>2016</v>
      </c>
      <c r="X478" t="s">
        <v>2039</v>
      </c>
    </row>
    <row r="479" spans="1:24" x14ac:dyDescent="0.3">
      <c r="A479" t="s">
        <v>1108</v>
      </c>
      <c r="B479" t="s">
        <v>40</v>
      </c>
      <c r="D479">
        <f>AVERAGE(32.224,31.341)</f>
        <v>31.782499999999999</v>
      </c>
      <c r="E479">
        <f>AVERAGE(13671,11396)</f>
        <v>12533.5</v>
      </c>
      <c r="F479">
        <v>49</v>
      </c>
      <c r="G479" s="11"/>
      <c r="H479" t="s">
        <v>340</v>
      </c>
      <c r="I479">
        <v>11980</v>
      </c>
      <c r="J479">
        <v>5441222</v>
      </c>
      <c r="K479">
        <v>4</v>
      </c>
      <c r="L479">
        <v>32</v>
      </c>
      <c r="M479" t="s">
        <v>226</v>
      </c>
      <c r="N479" s="6" t="s">
        <v>2427</v>
      </c>
      <c r="O479">
        <v>1</v>
      </c>
      <c r="P479">
        <v>37.5</v>
      </c>
      <c r="Q479">
        <v>3</v>
      </c>
      <c r="R479">
        <v>1</v>
      </c>
      <c r="S479">
        <v>37.5</v>
      </c>
      <c r="T479" t="s">
        <v>1921</v>
      </c>
      <c r="U479" t="s">
        <v>2009</v>
      </c>
      <c r="V479" t="s">
        <v>2024</v>
      </c>
      <c r="W479" t="s">
        <v>2016</v>
      </c>
      <c r="X479" t="s">
        <v>2039</v>
      </c>
    </row>
    <row r="480" spans="1:24" x14ac:dyDescent="0.3">
      <c r="A480" t="s">
        <v>1281</v>
      </c>
      <c r="B480" t="s">
        <v>788</v>
      </c>
      <c r="D480">
        <v>34.506999999999998</v>
      </c>
      <c r="E480">
        <v>12602</v>
      </c>
      <c r="F480">
        <v>51.12</v>
      </c>
      <c r="G480" s="11"/>
      <c r="H480" t="s">
        <v>3707</v>
      </c>
      <c r="I480">
        <v>12602</v>
      </c>
      <c r="J480">
        <v>5903706</v>
      </c>
      <c r="K480">
        <v>2.5</v>
      </c>
      <c r="L480">
        <v>37.5</v>
      </c>
      <c r="M480" t="s">
        <v>227</v>
      </c>
      <c r="N480" s="6" t="s">
        <v>2329</v>
      </c>
      <c r="R480">
        <v>2.5</v>
      </c>
      <c r="S480">
        <v>37.5</v>
      </c>
      <c r="T480" t="s">
        <v>654</v>
      </c>
      <c r="U480" t="s">
        <v>2009</v>
      </c>
      <c r="V480" t="s">
        <v>2024</v>
      </c>
      <c r="W480" t="s">
        <v>2016</v>
      </c>
      <c r="X480" t="s">
        <v>2039</v>
      </c>
    </row>
    <row r="481" spans="1:24" x14ac:dyDescent="0.3">
      <c r="A481" t="s">
        <v>1109</v>
      </c>
      <c r="B481" t="s">
        <v>513</v>
      </c>
      <c r="D481">
        <v>33.646999999999998</v>
      </c>
      <c r="E481">
        <v>11593</v>
      </c>
      <c r="F481">
        <v>26.8</v>
      </c>
      <c r="G481" s="11"/>
      <c r="H481" t="s">
        <v>1746</v>
      </c>
      <c r="I481">
        <v>11663</v>
      </c>
      <c r="J481">
        <v>5350731</v>
      </c>
      <c r="K481">
        <v>5</v>
      </c>
      <c r="L481">
        <v>42</v>
      </c>
      <c r="M481" t="s">
        <v>227</v>
      </c>
      <c r="N481" s="6" t="s">
        <v>2428</v>
      </c>
      <c r="Q481" t="s">
        <v>764</v>
      </c>
      <c r="R481">
        <v>5</v>
      </c>
      <c r="S481">
        <v>42</v>
      </c>
      <c r="T481" t="s">
        <v>654</v>
      </c>
      <c r="U481" t="s">
        <v>2009</v>
      </c>
      <c r="V481" t="s">
        <v>2024</v>
      </c>
      <c r="W481" t="s">
        <v>2016</v>
      </c>
      <c r="X481" t="s">
        <v>2039</v>
      </c>
    </row>
    <row r="482" spans="1:24" x14ac:dyDescent="0.3">
      <c r="A482" t="s">
        <v>1110</v>
      </c>
      <c r="B482" t="s">
        <v>540</v>
      </c>
      <c r="D482">
        <f>AVERAGE(32.788,33.039)</f>
        <v>32.913499999999999</v>
      </c>
      <c r="E482">
        <f>AVERAGE(11761,11648)</f>
        <v>11704.5</v>
      </c>
      <c r="F482">
        <v>47.98</v>
      </c>
      <c r="G482" s="11"/>
      <c r="H482" t="s">
        <v>3707</v>
      </c>
      <c r="I482">
        <v>11761</v>
      </c>
      <c r="J482">
        <v>5776525</v>
      </c>
      <c r="K482">
        <v>7</v>
      </c>
      <c r="L482">
        <v>27</v>
      </c>
      <c r="M482" t="s">
        <v>226</v>
      </c>
      <c r="N482" s="6" t="s">
        <v>2199</v>
      </c>
      <c r="O482">
        <v>7</v>
      </c>
      <c r="P482">
        <v>36</v>
      </c>
      <c r="Q482">
        <v>6</v>
      </c>
      <c r="R482">
        <v>7</v>
      </c>
      <c r="S482">
        <v>36</v>
      </c>
      <c r="T482" t="s">
        <v>654</v>
      </c>
      <c r="U482" t="s">
        <v>2009</v>
      </c>
      <c r="V482" t="s">
        <v>2024</v>
      </c>
      <c r="W482" t="s">
        <v>2016</v>
      </c>
      <c r="X482" t="s">
        <v>2039</v>
      </c>
    </row>
    <row r="483" spans="1:24" x14ac:dyDescent="0.3">
      <c r="A483" t="s">
        <v>1111</v>
      </c>
      <c r="B483" t="s">
        <v>37</v>
      </c>
      <c r="D483">
        <v>23.940999999999999</v>
      </c>
      <c r="E483">
        <v>7149</v>
      </c>
      <c r="F483">
        <v>50.25</v>
      </c>
      <c r="G483" s="11"/>
      <c r="H483" t="s">
        <v>1746</v>
      </c>
      <c r="I483">
        <v>7144</v>
      </c>
      <c r="J483">
        <v>3565102</v>
      </c>
      <c r="K483">
        <v>10</v>
      </c>
      <c r="L483">
        <v>40</v>
      </c>
      <c r="M483" t="s">
        <v>227</v>
      </c>
      <c r="N483" s="6" t="s">
        <v>2429</v>
      </c>
      <c r="R483">
        <v>10</v>
      </c>
      <c r="S483">
        <v>40</v>
      </c>
      <c r="T483" t="s">
        <v>654</v>
      </c>
      <c r="U483" t="s">
        <v>2009</v>
      </c>
      <c r="V483" t="s">
        <v>2024</v>
      </c>
      <c r="W483" t="s">
        <v>2016</v>
      </c>
      <c r="X483" t="s">
        <v>2039</v>
      </c>
    </row>
    <row r="484" spans="1:24" x14ac:dyDescent="0.3">
      <c r="A484" t="s">
        <v>1112</v>
      </c>
      <c r="B484" t="s">
        <v>310</v>
      </c>
      <c r="D484">
        <f>AVERAGE(24.884,25.956)</f>
        <v>25.42</v>
      </c>
      <c r="E484">
        <f>AVERAGE(8946,9188)</f>
        <v>9067</v>
      </c>
      <c r="F484">
        <v>48.9</v>
      </c>
      <c r="G484" s="11"/>
      <c r="H484" t="s">
        <v>1746</v>
      </c>
      <c r="I484">
        <v>9101</v>
      </c>
      <c r="J484">
        <v>4201956</v>
      </c>
      <c r="K484">
        <v>10</v>
      </c>
      <c r="L484">
        <v>30</v>
      </c>
      <c r="M484" t="s">
        <v>226</v>
      </c>
      <c r="N484" s="6" t="s">
        <v>2327</v>
      </c>
      <c r="O484">
        <v>0</v>
      </c>
      <c r="P484">
        <v>35</v>
      </c>
      <c r="Q484">
        <v>19</v>
      </c>
      <c r="R484">
        <v>0</v>
      </c>
      <c r="S484">
        <v>35</v>
      </c>
      <c r="T484" t="s">
        <v>654</v>
      </c>
      <c r="U484" t="s">
        <v>2009</v>
      </c>
      <c r="V484" t="s">
        <v>2024</v>
      </c>
      <c r="W484" t="s">
        <v>2016</v>
      </c>
      <c r="X484" t="s">
        <v>2039</v>
      </c>
    </row>
    <row r="485" spans="1:24" x14ac:dyDescent="0.3">
      <c r="A485" t="s">
        <v>1113</v>
      </c>
      <c r="B485" t="s">
        <v>9</v>
      </c>
      <c r="C485" t="s">
        <v>1571</v>
      </c>
      <c r="D485">
        <f>AVERAGE(32.451,32.065)</f>
        <v>32.257999999999996</v>
      </c>
      <c r="E485">
        <f>AVERAGE(11807,11023)</f>
        <v>11415</v>
      </c>
      <c r="F485">
        <v>47.75</v>
      </c>
      <c r="G485" s="11"/>
      <c r="H485" t="s">
        <v>1746</v>
      </c>
      <c r="I485">
        <v>11060</v>
      </c>
      <c r="J485">
        <v>5559105</v>
      </c>
      <c r="K485">
        <v>-4</v>
      </c>
      <c r="L485">
        <v>35</v>
      </c>
      <c r="M485" t="s">
        <v>227</v>
      </c>
      <c r="N485" s="6" t="s">
        <v>2430</v>
      </c>
      <c r="O485">
        <v>1.5</v>
      </c>
      <c r="P485">
        <v>43</v>
      </c>
      <c r="Q485">
        <v>13</v>
      </c>
      <c r="R485">
        <v>-4</v>
      </c>
      <c r="S485">
        <v>43</v>
      </c>
      <c r="T485" t="s">
        <v>654</v>
      </c>
      <c r="U485" t="s">
        <v>2009</v>
      </c>
      <c r="V485" t="s">
        <v>2024</v>
      </c>
      <c r="W485" t="s">
        <v>2016</v>
      </c>
      <c r="X485" t="s">
        <v>2039</v>
      </c>
    </row>
    <row r="486" spans="1:24" x14ac:dyDescent="0.3">
      <c r="A486" t="s">
        <v>1115</v>
      </c>
      <c r="B486" t="s">
        <v>511</v>
      </c>
      <c r="D486">
        <v>33.162999999999997</v>
      </c>
      <c r="E486">
        <v>12328</v>
      </c>
      <c r="F486">
        <v>48.35</v>
      </c>
      <c r="G486" s="11"/>
      <c r="H486" t="s">
        <v>3707</v>
      </c>
      <c r="I486">
        <v>12328</v>
      </c>
      <c r="J486">
        <v>5742626</v>
      </c>
      <c r="K486">
        <v>0</v>
      </c>
      <c r="L486">
        <v>30</v>
      </c>
      <c r="M486" t="s">
        <v>227</v>
      </c>
      <c r="N486" s="6" t="s">
        <v>2329</v>
      </c>
      <c r="R486">
        <v>0</v>
      </c>
      <c r="S486">
        <v>30</v>
      </c>
      <c r="T486" t="s">
        <v>654</v>
      </c>
      <c r="U486" t="s">
        <v>2009</v>
      </c>
      <c r="V486" t="s">
        <v>2024</v>
      </c>
      <c r="W486" t="s">
        <v>2016</v>
      </c>
      <c r="X486" t="s">
        <v>2039</v>
      </c>
    </row>
    <row r="487" spans="1:24" x14ac:dyDescent="0.3">
      <c r="A487" t="s">
        <v>1117</v>
      </c>
      <c r="B487" t="s">
        <v>417</v>
      </c>
      <c r="D487">
        <v>30.164000000000001</v>
      </c>
      <c r="E487">
        <v>9996</v>
      </c>
      <c r="F487">
        <v>47.2</v>
      </c>
      <c r="G487" s="11"/>
      <c r="H487" t="s">
        <v>1746</v>
      </c>
      <c r="I487">
        <v>9993</v>
      </c>
      <c r="J487">
        <v>4757581</v>
      </c>
      <c r="K487">
        <v>-3</v>
      </c>
      <c r="L487">
        <v>31</v>
      </c>
      <c r="M487" t="s">
        <v>227</v>
      </c>
      <c r="N487" s="6" t="s">
        <v>2327</v>
      </c>
      <c r="O487">
        <v>0</v>
      </c>
      <c r="P487">
        <v>32.5</v>
      </c>
      <c r="Q487">
        <v>19</v>
      </c>
      <c r="R487">
        <v>-3</v>
      </c>
      <c r="S487">
        <v>32.5</v>
      </c>
      <c r="T487" t="s">
        <v>654</v>
      </c>
      <c r="U487" t="s">
        <v>2009</v>
      </c>
      <c r="V487" t="s">
        <v>2024</v>
      </c>
      <c r="W487" t="s">
        <v>2016</v>
      </c>
      <c r="X487" t="s">
        <v>2039</v>
      </c>
    </row>
    <row r="488" spans="1:24" x14ac:dyDescent="0.3">
      <c r="A488" t="s">
        <v>1373</v>
      </c>
      <c r="B488" t="s">
        <v>721</v>
      </c>
      <c r="D488">
        <v>29.4</v>
      </c>
      <c r="E488">
        <v>9896</v>
      </c>
      <c r="F488">
        <v>50</v>
      </c>
      <c r="G488" s="11"/>
      <c r="H488" t="s">
        <v>1746</v>
      </c>
      <c r="I488">
        <v>9525</v>
      </c>
      <c r="J488">
        <v>4955456</v>
      </c>
      <c r="K488">
        <v>4</v>
      </c>
      <c r="L488">
        <v>32</v>
      </c>
      <c r="M488" t="s">
        <v>227</v>
      </c>
      <c r="N488" s="6" t="s">
        <v>2431</v>
      </c>
      <c r="R488">
        <v>4</v>
      </c>
      <c r="S488">
        <v>32</v>
      </c>
      <c r="T488" t="s">
        <v>654</v>
      </c>
      <c r="U488" t="s">
        <v>2009</v>
      </c>
      <c r="V488" t="s">
        <v>2024</v>
      </c>
      <c r="W488" t="s">
        <v>2016</v>
      </c>
      <c r="X488" t="s">
        <v>2039</v>
      </c>
    </row>
    <row r="489" spans="1:24" x14ac:dyDescent="0.3">
      <c r="A489" t="s">
        <v>1118</v>
      </c>
      <c r="B489" t="s">
        <v>89</v>
      </c>
      <c r="D489">
        <v>30.177</v>
      </c>
      <c r="E489">
        <v>9979</v>
      </c>
      <c r="F489">
        <v>50.633600000000001</v>
      </c>
      <c r="G489" s="11"/>
      <c r="H489" t="s">
        <v>1746</v>
      </c>
      <c r="I489">
        <v>9977</v>
      </c>
      <c r="J489">
        <v>4542051</v>
      </c>
      <c r="K489">
        <v>4</v>
      </c>
      <c r="L489">
        <v>36</v>
      </c>
      <c r="M489" t="s">
        <v>226</v>
      </c>
      <c r="N489" s="6" t="s">
        <v>2432</v>
      </c>
      <c r="R489">
        <v>4</v>
      </c>
      <c r="S489">
        <v>36</v>
      </c>
      <c r="T489" t="s">
        <v>654</v>
      </c>
      <c r="U489" t="s">
        <v>2009</v>
      </c>
      <c r="V489" t="s">
        <v>2024</v>
      </c>
      <c r="W489" t="s">
        <v>2016</v>
      </c>
      <c r="X489" t="s">
        <v>2039</v>
      </c>
    </row>
    <row r="490" spans="1:24" ht="14.4" customHeight="1" x14ac:dyDescent="0.3">
      <c r="A490" t="s">
        <v>1121</v>
      </c>
      <c r="B490" t="s">
        <v>198</v>
      </c>
      <c r="D490">
        <f>32.377</f>
        <v>32.377000000000002</v>
      </c>
      <c r="E490">
        <v>10694</v>
      </c>
      <c r="F490">
        <v>47.437899999999999</v>
      </c>
      <c r="G490" s="11"/>
      <c r="H490" t="s">
        <v>1746</v>
      </c>
      <c r="I490">
        <v>10627</v>
      </c>
      <c r="J490">
        <v>5256275</v>
      </c>
      <c r="K490">
        <v>10</v>
      </c>
      <c r="L490">
        <v>28</v>
      </c>
      <c r="M490" t="s">
        <v>227</v>
      </c>
      <c r="N490" s="6" t="s">
        <v>2433</v>
      </c>
      <c r="R490">
        <v>10</v>
      </c>
      <c r="S490">
        <v>28</v>
      </c>
      <c r="T490" t="s">
        <v>654</v>
      </c>
      <c r="U490" t="s">
        <v>2009</v>
      </c>
      <c r="V490" t="s">
        <v>2024</v>
      </c>
      <c r="W490" t="s">
        <v>2016</v>
      </c>
      <c r="X490" t="s">
        <v>2039</v>
      </c>
    </row>
    <row r="491" spans="1:24" x14ac:dyDescent="0.3">
      <c r="A491" t="s">
        <v>1307</v>
      </c>
      <c r="B491" t="s">
        <v>820</v>
      </c>
      <c r="D491">
        <f>AVERAGE(29.383,29.683,29.02)</f>
        <v>29.361999999999998</v>
      </c>
      <c r="E491">
        <f>AVERAGE(10720,10961,12319)</f>
        <v>11333.333333333334</v>
      </c>
      <c r="F491">
        <v>48.5</v>
      </c>
      <c r="G491" s="11"/>
      <c r="H491" t="s">
        <v>340</v>
      </c>
      <c r="I491">
        <v>9762</v>
      </c>
      <c r="J491">
        <v>4758365</v>
      </c>
      <c r="K491">
        <v>3</v>
      </c>
      <c r="L491">
        <v>34</v>
      </c>
      <c r="M491" t="s">
        <v>226</v>
      </c>
      <c r="N491" s="6" t="s">
        <v>2434</v>
      </c>
      <c r="R491">
        <v>3</v>
      </c>
      <c r="S491">
        <v>34</v>
      </c>
      <c r="T491" t="s">
        <v>654</v>
      </c>
      <c r="U491" t="s">
        <v>2009</v>
      </c>
      <c r="V491" t="s">
        <v>2024</v>
      </c>
      <c r="W491" t="s">
        <v>2016</v>
      </c>
      <c r="X491" t="s">
        <v>2039</v>
      </c>
    </row>
    <row r="492" spans="1:24" x14ac:dyDescent="0.3">
      <c r="A492" t="s">
        <v>1122</v>
      </c>
      <c r="B492" t="s">
        <v>199</v>
      </c>
      <c r="D492">
        <v>31.009</v>
      </c>
      <c r="E492">
        <v>11636</v>
      </c>
      <c r="F492">
        <v>49</v>
      </c>
      <c r="G492" s="11"/>
      <c r="H492" t="s">
        <v>1746</v>
      </c>
      <c r="I492">
        <v>12788</v>
      </c>
      <c r="J492">
        <v>5712351</v>
      </c>
      <c r="K492">
        <v>5</v>
      </c>
      <c r="L492">
        <v>30</v>
      </c>
      <c r="M492" t="s">
        <v>227</v>
      </c>
      <c r="N492" s="6" t="s">
        <v>2435</v>
      </c>
      <c r="R492">
        <v>5</v>
      </c>
      <c r="S492">
        <v>30</v>
      </c>
      <c r="T492" t="s">
        <v>1921</v>
      </c>
      <c r="U492" t="s">
        <v>2009</v>
      </c>
      <c r="V492" t="s">
        <v>2024</v>
      </c>
      <c r="W492" t="s">
        <v>2016</v>
      </c>
      <c r="X492" t="s">
        <v>2039</v>
      </c>
    </row>
    <row r="493" spans="1:24" x14ac:dyDescent="0.3">
      <c r="A493" t="s">
        <v>1374</v>
      </c>
      <c r="B493" t="s">
        <v>722</v>
      </c>
      <c r="D493">
        <v>31.3</v>
      </c>
      <c r="E493">
        <v>10803</v>
      </c>
      <c r="F493">
        <v>49</v>
      </c>
      <c r="G493" s="11"/>
      <c r="H493" t="s">
        <v>1746</v>
      </c>
      <c r="I493">
        <v>10048</v>
      </c>
      <c r="J493">
        <v>5233040</v>
      </c>
      <c r="K493">
        <v>4</v>
      </c>
      <c r="L493">
        <v>29</v>
      </c>
      <c r="M493" t="s">
        <v>227</v>
      </c>
      <c r="N493" s="6" t="s">
        <v>2431</v>
      </c>
      <c r="R493">
        <v>4</v>
      </c>
      <c r="S493">
        <v>29</v>
      </c>
      <c r="T493" t="s">
        <v>654</v>
      </c>
      <c r="U493" t="s">
        <v>2009</v>
      </c>
      <c r="V493" t="s">
        <v>2024</v>
      </c>
      <c r="W493" t="s">
        <v>2016</v>
      </c>
      <c r="X493" t="s">
        <v>2039</v>
      </c>
    </row>
    <row r="494" spans="1:24" x14ac:dyDescent="0.3">
      <c r="A494" t="s">
        <v>1119</v>
      </c>
      <c r="B494" t="s">
        <v>539</v>
      </c>
      <c r="C494" t="s">
        <v>2045</v>
      </c>
      <c r="D494">
        <v>29.14</v>
      </c>
      <c r="E494">
        <v>9630</v>
      </c>
      <c r="F494">
        <v>47.4</v>
      </c>
      <c r="G494" s="11"/>
      <c r="H494" t="s">
        <v>1746</v>
      </c>
      <c r="I494">
        <v>9628</v>
      </c>
      <c r="J494">
        <v>5009552</v>
      </c>
      <c r="K494">
        <v>2</v>
      </c>
      <c r="L494">
        <v>16</v>
      </c>
      <c r="M494" t="s">
        <v>226</v>
      </c>
      <c r="N494" s="6" t="s">
        <v>2408</v>
      </c>
      <c r="R494">
        <v>2</v>
      </c>
      <c r="S494">
        <v>16</v>
      </c>
      <c r="T494" t="s">
        <v>654</v>
      </c>
      <c r="U494" t="s">
        <v>2009</v>
      </c>
      <c r="V494" t="s">
        <v>2024</v>
      </c>
      <c r="W494" t="s">
        <v>2016</v>
      </c>
      <c r="X494" t="s">
        <v>2039</v>
      </c>
    </row>
    <row r="495" spans="1:24" x14ac:dyDescent="0.3">
      <c r="A495" t="s">
        <v>1123</v>
      </c>
      <c r="B495" t="s">
        <v>537</v>
      </c>
      <c r="D495">
        <v>30.290600000000001</v>
      </c>
      <c r="E495">
        <v>11559</v>
      </c>
      <c r="F495">
        <v>47.65</v>
      </c>
      <c r="G495" s="11"/>
      <c r="H495" t="s">
        <v>340</v>
      </c>
      <c r="I495">
        <v>11559</v>
      </c>
      <c r="J495">
        <v>5312801</v>
      </c>
      <c r="K495">
        <v>10</v>
      </c>
      <c r="L495">
        <v>36</v>
      </c>
      <c r="M495" t="s">
        <v>226</v>
      </c>
      <c r="N495" s="6" t="s">
        <v>2374</v>
      </c>
      <c r="R495">
        <v>10</v>
      </c>
      <c r="S495">
        <v>36</v>
      </c>
      <c r="T495" t="s">
        <v>654</v>
      </c>
      <c r="U495" t="s">
        <v>2009</v>
      </c>
      <c r="V495" t="s">
        <v>2024</v>
      </c>
      <c r="W495" t="s">
        <v>2016</v>
      </c>
      <c r="X495" t="s">
        <v>2039</v>
      </c>
    </row>
    <row r="496" spans="1:24" ht="16.95" customHeight="1" x14ac:dyDescent="0.3">
      <c r="A496" t="s">
        <v>1575</v>
      </c>
      <c r="B496" t="s">
        <v>3821</v>
      </c>
      <c r="D496">
        <v>325.3</v>
      </c>
      <c r="E496">
        <v>19118</v>
      </c>
      <c r="F496">
        <v>49</v>
      </c>
      <c r="G496" s="11"/>
      <c r="H496" t="s">
        <v>340</v>
      </c>
      <c r="I496">
        <v>19118</v>
      </c>
      <c r="J496">
        <v>5610765</v>
      </c>
      <c r="M496" t="s">
        <v>1691</v>
      </c>
      <c r="N496" s="6" t="s">
        <v>2168</v>
      </c>
      <c r="O496">
        <v>10</v>
      </c>
      <c r="P496">
        <v>30</v>
      </c>
      <c r="Q496">
        <v>6</v>
      </c>
      <c r="R496">
        <v>10</v>
      </c>
      <c r="S496">
        <v>30</v>
      </c>
      <c r="T496" t="s">
        <v>1922</v>
      </c>
      <c r="U496" t="s">
        <v>2010</v>
      </c>
      <c r="V496" t="s">
        <v>2025</v>
      </c>
      <c r="W496" t="s">
        <v>2021</v>
      </c>
    </row>
    <row r="497" spans="1:24" x14ac:dyDescent="0.3">
      <c r="A497" t="s">
        <v>1577</v>
      </c>
      <c r="B497" t="s">
        <v>3822</v>
      </c>
      <c r="D497">
        <v>43.5</v>
      </c>
      <c r="E497">
        <v>12443</v>
      </c>
      <c r="F497">
        <v>48.5</v>
      </c>
      <c r="G497" s="11"/>
      <c r="H497" t="s">
        <v>340</v>
      </c>
      <c r="I497">
        <v>13463</v>
      </c>
      <c r="J497">
        <v>5880556</v>
      </c>
      <c r="M497" t="s">
        <v>1691</v>
      </c>
      <c r="N497" s="6" t="s">
        <v>2168</v>
      </c>
      <c r="O497">
        <v>3</v>
      </c>
      <c r="P497">
        <v>28</v>
      </c>
      <c r="Q497">
        <v>9</v>
      </c>
      <c r="R497">
        <v>3</v>
      </c>
      <c r="S497">
        <v>28</v>
      </c>
      <c r="T497" t="s">
        <v>1923</v>
      </c>
      <c r="U497" t="s">
        <v>2010</v>
      </c>
      <c r="V497" t="s">
        <v>2025</v>
      </c>
      <c r="W497" t="s">
        <v>2021</v>
      </c>
    </row>
    <row r="498" spans="1:24" x14ac:dyDescent="0.3">
      <c r="A498" t="s">
        <v>1578</v>
      </c>
      <c r="B498" t="s">
        <v>3823</v>
      </c>
      <c r="D498">
        <v>48.7</v>
      </c>
      <c r="E498">
        <v>9548</v>
      </c>
      <c r="F498">
        <v>48</v>
      </c>
      <c r="G498" s="11"/>
      <c r="H498" t="s">
        <v>340</v>
      </c>
      <c r="I498">
        <v>10408</v>
      </c>
      <c r="J498">
        <v>5028115</v>
      </c>
      <c r="M498" t="s">
        <v>1691</v>
      </c>
      <c r="N498" s="6" t="s">
        <v>2168</v>
      </c>
      <c r="O498">
        <v>0.5</v>
      </c>
      <c r="P498">
        <v>30</v>
      </c>
      <c r="Q498">
        <v>19</v>
      </c>
      <c r="R498">
        <v>0.5</v>
      </c>
      <c r="S498">
        <v>30</v>
      </c>
      <c r="T498" t="s">
        <v>1923</v>
      </c>
      <c r="U498" t="s">
        <v>2010</v>
      </c>
      <c r="V498" t="s">
        <v>2025</v>
      </c>
      <c r="W498" t="s">
        <v>2021</v>
      </c>
    </row>
    <row r="499" spans="1:24" x14ac:dyDescent="0.3">
      <c r="A499" t="s">
        <v>1124</v>
      </c>
      <c r="B499" t="s">
        <v>381</v>
      </c>
      <c r="D499">
        <v>63.065899999999999</v>
      </c>
      <c r="E499">
        <v>20460</v>
      </c>
      <c r="F499">
        <v>34.799999999999997</v>
      </c>
      <c r="G499" s="8" t="s">
        <v>2131</v>
      </c>
      <c r="H499" t="s">
        <v>383</v>
      </c>
      <c r="I499" t="s">
        <v>383</v>
      </c>
      <c r="J499" t="s">
        <v>383</v>
      </c>
      <c r="K499">
        <v>8</v>
      </c>
      <c r="L499">
        <v>30</v>
      </c>
      <c r="M499" t="s">
        <v>227</v>
      </c>
      <c r="N499" s="6" t="s">
        <v>2436</v>
      </c>
      <c r="O499">
        <v>1</v>
      </c>
      <c r="P499">
        <v>31.1</v>
      </c>
      <c r="Q499">
        <v>24</v>
      </c>
      <c r="R499">
        <v>1</v>
      </c>
      <c r="S499">
        <v>31.1</v>
      </c>
      <c r="T499" t="s">
        <v>1923</v>
      </c>
      <c r="U499" t="s">
        <v>2010</v>
      </c>
      <c r="V499" t="s">
        <v>2025</v>
      </c>
      <c r="W499" t="s">
        <v>2021</v>
      </c>
    </row>
    <row r="500" spans="1:24" x14ac:dyDescent="0.3">
      <c r="A500" t="s">
        <v>1125</v>
      </c>
      <c r="B500" t="s">
        <v>94</v>
      </c>
      <c r="D500">
        <v>51.910699999999999</v>
      </c>
      <c r="E500">
        <v>15413</v>
      </c>
      <c r="F500">
        <v>48.7</v>
      </c>
      <c r="G500" s="11"/>
      <c r="H500" t="s">
        <v>1746</v>
      </c>
      <c r="I500">
        <v>15412</v>
      </c>
      <c r="J500">
        <v>7589864</v>
      </c>
      <c r="K500">
        <v>8</v>
      </c>
      <c r="L500">
        <v>45</v>
      </c>
      <c r="M500" t="s">
        <v>228</v>
      </c>
      <c r="N500" s="6" t="s">
        <v>2437</v>
      </c>
      <c r="R500">
        <v>8</v>
      </c>
      <c r="S500">
        <v>45</v>
      </c>
      <c r="T500" t="s">
        <v>1924</v>
      </c>
      <c r="U500" t="s">
        <v>2009</v>
      </c>
      <c r="V500" t="s">
        <v>2024</v>
      </c>
      <c r="W500" t="s">
        <v>2016</v>
      </c>
      <c r="X500" t="s">
        <v>2039</v>
      </c>
    </row>
    <row r="501" spans="1:24" x14ac:dyDescent="0.3">
      <c r="A501" t="s">
        <v>1376</v>
      </c>
      <c r="B501" t="s">
        <v>723</v>
      </c>
      <c r="C501" t="s">
        <v>813</v>
      </c>
      <c r="D501">
        <v>47.5</v>
      </c>
      <c r="E501">
        <v>8834</v>
      </c>
      <c r="F501">
        <v>49.5</v>
      </c>
      <c r="G501" s="11"/>
      <c r="H501" t="s">
        <v>1746</v>
      </c>
      <c r="I501">
        <v>8833</v>
      </c>
      <c r="J501">
        <v>3911874</v>
      </c>
      <c r="K501">
        <v>7</v>
      </c>
      <c r="L501">
        <v>35</v>
      </c>
      <c r="M501" t="s">
        <v>228</v>
      </c>
      <c r="N501" s="6" t="s">
        <v>2438</v>
      </c>
      <c r="R501">
        <v>7</v>
      </c>
      <c r="S501">
        <v>35</v>
      </c>
      <c r="T501" t="s">
        <v>1925</v>
      </c>
      <c r="U501" t="s">
        <v>2009</v>
      </c>
      <c r="V501" t="s">
        <v>2024</v>
      </c>
      <c r="W501" t="s">
        <v>2016</v>
      </c>
      <c r="X501" t="s">
        <v>2039</v>
      </c>
    </row>
    <row r="502" spans="1:24" x14ac:dyDescent="0.3">
      <c r="A502" t="s">
        <v>1377</v>
      </c>
      <c r="B502" t="s">
        <v>724</v>
      </c>
      <c r="D502">
        <v>27.513000000000002</v>
      </c>
      <c r="E502">
        <v>6907</v>
      </c>
      <c r="F502">
        <v>47</v>
      </c>
      <c r="G502" s="11"/>
      <c r="H502" t="s">
        <v>1746</v>
      </c>
      <c r="I502">
        <v>6907</v>
      </c>
      <c r="J502">
        <v>3771177</v>
      </c>
      <c r="K502">
        <v>7</v>
      </c>
      <c r="L502">
        <v>37</v>
      </c>
      <c r="M502" t="s">
        <v>228</v>
      </c>
      <c r="N502" s="6" t="s">
        <v>2438</v>
      </c>
      <c r="R502">
        <v>7</v>
      </c>
      <c r="S502">
        <v>37</v>
      </c>
      <c r="T502" t="s">
        <v>1926</v>
      </c>
      <c r="U502" t="s">
        <v>2009</v>
      </c>
      <c r="V502" t="s">
        <v>2024</v>
      </c>
      <c r="W502" t="s">
        <v>2016</v>
      </c>
      <c r="X502" t="s">
        <v>2039</v>
      </c>
    </row>
    <row r="503" spans="1:24" x14ac:dyDescent="0.3">
      <c r="A503" t="s">
        <v>1126</v>
      </c>
      <c r="B503" t="s">
        <v>137</v>
      </c>
      <c r="D503">
        <f>AVERAGE(1273.655,1082,905,1057.43)</f>
        <v>1079.52125</v>
      </c>
      <c r="E503">
        <f>AVERAGE(22467,18216,19618)</f>
        <v>20100.333333333332</v>
      </c>
      <c r="F503">
        <v>37.299999999999997</v>
      </c>
      <c r="G503" s="11"/>
      <c r="H503" t="s">
        <v>340</v>
      </c>
      <c r="I503">
        <v>18162</v>
      </c>
      <c r="J503">
        <v>6110577</v>
      </c>
      <c r="K503">
        <v>17</v>
      </c>
      <c r="L503">
        <v>35</v>
      </c>
      <c r="M503" t="s">
        <v>227</v>
      </c>
      <c r="N503" s="6" t="s">
        <v>2439</v>
      </c>
      <c r="R503">
        <v>17</v>
      </c>
      <c r="S503">
        <v>35</v>
      </c>
      <c r="T503" t="s">
        <v>1927</v>
      </c>
      <c r="U503" t="s">
        <v>2009</v>
      </c>
      <c r="V503" t="s">
        <v>2024</v>
      </c>
      <c r="W503" t="s">
        <v>2015</v>
      </c>
      <c r="X503" t="s">
        <v>3046</v>
      </c>
    </row>
    <row r="504" spans="1:24" x14ac:dyDescent="0.3">
      <c r="A504" t="s">
        <v>3035</v>
      </c>
      <c r="B504" t="s">
        <v>2040</v>
      </c>
      <c r="D504">
        <v>63.5</v>
      </c>
      <c r="F504">
        <v>44</v>
      </c>
      <c r="G504" s="11"/>
      <c r="H504"/>
      <c r="I504" t="s">
        <v>383</v>
      </c>
      <c r="J504" t="s">
        <v>383</v>
      </c>
      <c r="K504">
        <v>5</v>
      </c>
      <c r="L504">
        <v>28</v>
      </c>
      <c r="M504" t="s">
        <v>228</v>
      </c>
      <c r="N504" s="6" t="s">
        <v>2225</v>
      </c>
      <c r="R504">
        <v>5</v>
      </c>
      <c r="S504">
        <v>28</v>
      </c>
      <c r="T504" t="s">
        <v>3036</v>
      </c>
      <c r="U504" t="s">
        <v>2009</v>
      </c>
      <c r="V504" t="s">
        <v>2024</v>
      </c>
      <c r="W504" t="s">
        <v>2015</v>
      </c>
      <c r="X504" t="s">
        <v>3046</v>
      </c>
    </row>
    <row r="505" spans="1:24" x14ac:dyDescent="0.3">
      <c r="A505" t="s">
        <v>1127</v>
      </c>
      <c r="B505" t="s">
        <v>127</v>
      </c>
      <c r="D505">
        <v>46.293300000000002</v>
      </c>
      <c r="E505">
        <v>13937</v>
      </c>
      <c r="F505">
        <v>52.9</v>
      </c>
      <c r="G505" s="11"/>
      <c r="H505" t="s">
        <v>1746</v>
      </c>
      <c r="I505">
        <v>13867</v>
      </c>
      <c r="J505">
        <v>5321648</v>
      </c>
      <c r="K505">
        <v>8</v>
      </c>
      <c r="L505">
        <v>32</v>
      </c>
      <c r="M505" t="s">
        <v>226</v>
      </c>
      <c r="N505" s="6" t="s">
        <v>2440</v>
      </c>
      <c r="R505">
        <v>8</v>
      </c>
      <c r="S505">
        <v>32</v>
      </c>
      <c r="T505" t="s">
        <v>390</v>
      </c>
      <c r="U505" t="s">
        <v>2009</v>
      </c>
      <c r="V505" t="s">
        <v>2024</v>
      </c>
      <c r="W505" t="s">
        <v>2015</v>
      </c>
      <c r="X505" t="s">
        <v>3039</v>
      </c>
    </row>
    <row r="506" spans="1:24" x14ac:dyDescent="0.3">
      <c r="A506" t="s">
        <v>1128</v>
      </c>
      <c r="B506" t="s">
        <v>188</v>
      </c>
      <c r="C506" t="s">
        <v>30</v>
      </c>
      <c r="D506">
        <f>AVERAGE(33.908,33.908,35.149)</f>
        <v>34.321666666666665</v>
      </c>
      <c r="E506">
        <f>AVERAGE(12256,12524,13602)</f>
        <v>12794</v>
      </c>
      <c r="F506">
        <v>56.75</v>
      </c>
      <c r="G506" s="11"/>
      <c r="H506" t="s">
        <v>3707</v>
      </c>
      <c r="I506">
        <v>12524</v>
      </c>
      <c r="J506">
        <v>5675365</v>
      </c>
      <c r="K506">
        <v>7</v>
      </c>
      <c r="L506">
        <v>49</v>
      </c>
      <c r="M506" t="s">
        <v>227</v>
      </c>
      <c r="N506" s="6" t="s">
        <v>2397</v>
      </c>
      <c r="R506">
        <v>7</v>
      </c>
      <c r="S506">
        <v>49</v>
      </c>
      <c r="T506" t="s">
        <v>1928</v>
      </c>
      <c r="U506" t="s">
        <v>2009</v>
      </c>
      <c r="V506" t="s">
        <v>2024</v>
      </c>
      <c r="W506" t="s">
        <v>2015</v>
      </c>
      <c r="X506" t="s">
        <v>3039</v>
      </c>
    </row>
    <row r="507" spans="1:24" x14ac:dyDescent="0.3">
      <c r="A507" t="s">
        <v>1129</v>
      </c>
      <c r="B507" t="s">
        <v>578</v>
      </c>
      <c r="D507">
        <v>21.5</v>
      </c>
      <c r="E507">
        <v>10303</v>
      </c>
      <c r="F507">
        <v>61.5</v>
      </c>
      <c r="G507" s="8" t="s">
        <v>2104</v>
      </c>
      <c r="H507" t="s">
        <v>383</v>
      </c>
      <c r="I507" t="s">
        <v>383</v>
      </c>
      <c r="J507" t="s">
        <v>383</v>
      </c>
      <c r="K507">
        <v>-2</v>
      </c>
      <c r="L507">
        <v>22</v>
      </c>
      <c r="M507" t="s">
        <v>228</v>
      </c>
      <c r="N507" s="6" t="s">
        <v>2441</v>
      </c>
      <c r="R507">
        <v>-2</v>
      </c>
      <c r="S507">
        <v>22</v>
      </c>
      <c r="T507" t="s">
        <v>1929</v>
      </c>
      <c r="U507" t="s">
        <v>2009</v>
      </c>
      <c r="V507" t="s">
        <v>2024</v>
      </c>
      <c r="W507" t="s">
        <v>2015</v>
      </c>
      <c r="X507" t="s">
        <v>3047</v>
      </c>
    </row>
    <row r="508" spans="1:24" x14ac:dyDescent="0.3">
      <c r="A508" t="s">
        <v>1130</v>
      </c>
      <c r="B508" t="s">
        <v>284</v>
      </c>
      <c r="D508">
        <v>40.406999999999996</v>
      </c>
      <c r="E508">
        <v>14629</v>
      </c>
      <c r="F508">
        <v>53.27</v>
      </c>
      <c r="G508" s="11"/>
      <c r="H508" t="s">
        <v>3707</v>
      </c>
      <c r="I508">
        <v>14629</v>
      </c>
      <c r="J508">
        <v>7121709</v>
      </c>
      <c r="K508">
        <v>5</v>
      </c>
      <c r="L508">
        <v>34</v>
      </c>
      <c r="M508" t="s">
        <v>228</v>
      </c>
      <c r="N508" s="6" t="s">
        <v>2305</v>
      </c>
      <c r="R508">
        <v>5</v>
      </c>
      <c r="S508">
        <v>34</v>
      </c>
      <c r="T508" t="s">
        <v>1930</v>
      </c>
      <c r="U508" t="s">
        <v>2009</v>
      </c>
      <c r="V508" t="s">
        <v>2024</v>
      </c>
      <c r="W508" t="s">
        <v>2015</v>
      </c>
      <c r="X508" t="s">
        <v>3039</v>
      </c>
    </row>
    <row r="509" spans="1:24" x14ac:dyDescent="0.3">
      <c r="A509" t="s">
        <v>1131</v>
      </c>
      <c r="B509" t="s">
        <v>538</v>
      </c>
      <c r="D509">
        <v>30.143899999999999</v>
      </c>
      <c r="E509">
        <v>11855</v>
      </c>
      <c r="F509">
        <v>54.7</v>
      </c>
      <c r="G509" s="11"/>
      <c r="H509" t="s">
        <v>1746</v>
      </c>
      <c r="I509">
        <v>11848</v>
      </c>
      <c r="J509">
        <v>4869150</v>
      </c>
      <c r="K509">
        <v>7</v>
      </c>
      <c r="L509">
        <v>31</v>
      </c>
      <c r="M509" t="s">
        <v>228</v>
      </c>
      <c r="N509" s="6" t="s">
        <v>2442</v>
      </c>
      <c r="R509">
        <v>7</v>
      </c>
      <c r="S509">
        <v>31</v>
      </c>
      <c r="T509" t="s">
        <v>1931</v>
      </c>
      <c r="U509" t="s">
        <v>2009</v>
      </c>
      <c r="V509" t="s">
        <v>2024</v>
      </c>
      <c r="W509" t="s">
        <v>2015</v>
      </c>
      <c r="X509" t="s">
        <v>3039</v>
      </c>
    </row>
    <row r="510" spans="1:24" x14ac:dyDescent="0.3">
      <c r="A510" t="s">
        <v>1132</v>
      </c>
      <c r="B510" t="s">
        <v>561</v>
      </c>
      <c r="D510">
        <v>54.8</v>
      </c>
      <c r="F510">
        <v>48.5</v>
      </c>
      <c r="G510" s="11"/>
      <c r="H510" t="s">
        <v>383</v>
      </c>
      <c r="I510" t="s">
        <v>383</v>
      </c>
      <c r="J510" t="s">
        <v>383</v>
      </c>
      <c r="K510">
        <v>12</v>
      </c>
      <c r="L510">
        <v>34</v>
      </c>
      <c r="M510" t="s">
        <v>226</v>
      </c>
      <c r="N510" s="6" t="s">
        <v>2344</v>
      </c>
      <c r="R510">
        <v>12</v>
      </c>
      <c r="S510">
        <v>34</v>
      </c>
      <c r="T510" t="s">
        <v>391</v>
      </c>
      <c r="U510" t="s">
        <v>2009</v>
      </c>
      <c r="V510" t="s">
        <v>2024</v>
      </c>
      <c r="W510" t="s">
        <v>2015</v>
      </c>
      <c r="X510" t="s">
        <v>3039</v>
      </c>
    </row>
    <row r="511" spans="1:24" x14ac:dyDescent="0.3">
      <c r="A511" t="s">
        <v>1133</v>
      </c>
      <c r="B511" t="s">
        <v>134</v>
      </c>
      <c r="D511">
        <f>AVERAGE(62.087,56.67,41.021,53.939)</f>
        <v>53.429250000000003</v>
      </c>
      <c r="E511">
        <f>AVERAGE(12627,12840,11981,16528)</f>
        <v>13494</v>
      </c>
      <c r="F511">
        <v>35.9</v>
      </c>
      <c r="G511" s="11"/>
      <c r="H511" t="s">
        <v>1746</v>
      </c>
      <c r="I511">
        <v>16154</v>
      </c>
      <c r="J511">
        <v>5760802</v>
      </c>
      <c r="K511">
        <v>7</v>
      </c>
      <c r="L511">
        <v>32</v>
      </c>
      <c r="M511" t="s">
        <v>226</v>
      </c>
      <c r="N511" s="6" t="s">
        <v>2443</v>
      </c>
      <c r="R511">
        <v>7</v>
      </c>
      <c r="S511">
        <v>32</v>
      </c>
      <c r="T511" t="s">
        <v>1932</v>
      </c>
      <c r="U511" t="s">
        <v>2009</v>
      </c>
      <c r="V511" t="s">
        <v>2023</v>
      </c>
      <c r="W511" t="s">
        <v>2014</v>
      </c>
      <c r="X511" t="s">
        <v>3037</v>
      </c>
    </row>
    <row r="512" spans="1:24" x14ac:dyDescent="0.3">
      <c r="A512" t="s">
        <v>1583</v>
      </c>
      <c r="B512" t="s">
        <v>3824</v>
      </c>
      <c r="D512">
        <v>37.700000000000003</v>
      </c>
      <c r="E512">
        <v>12071</v>
      </c>
      <c r="F512">
        <v>39.5</v>
      </c>
      <c r="G512" s="11"/>
      <c r="H512" t="s">
        <v>340</v>
      </c>
      <c r="I512">
        <v>11980</v>
      </c>
      <c r="J512">
        <v>4766907</v>
      </c>
      <c r="M512" t="s">
        <v>1691</v>
      </c>
      <c r="N512" s="6" t="s">
        <v>2168</v>
      </c>
      <c r="O512">
        <v>0</v>
      </c>
      <c r="P512">
        <v>34</v>
      </c>
      <c r="Q512">
        <v>8</v>
      </c>
      <c r="R512">
        <v>0</v>
      </c>
      <c r="S512">
        <v>34</v>
      </c>
      <c r="T512" t="s">
        <v>1932</v>
      </c>
      <c r="U512" t="s">
        <v>2009</v>
      </c>
      <c r="V512" t="s">
        <v>2023</v>
      </c>
      <c r="W512" t="s">
        <v>2014</v>
      </c>
      <c r="X512" t="s">
        <v>3037</v>
      </c>
    </row>
    <row r="513" spans="1:24" x14ac:dyDescent="0.3">
      <c r="A513" t="s">
        <v>1585</v>
      </c>
      <c r="B513" t="s">
        <v>3825</v>
      </c>
      <c r="D513">
        <v>30.5</v>
      </c>
      <c r="E513">
        <v>10691</v>
      </c>
      <c r="F513">
        <v>54.5</v>
      </c>
      <c r="G513" s="8" t="s">
        <v>2132</v>
      </c>
      <c r="H513" t="s">
        <v>383</v>
      </c>
      <c r="I513" t="s">
        <v>383</v>
      </c>
      <c r="J513" t="s">
        <v>383</v>
      </c>
      <c r="M513" t="s">
        <v>1691</v>
      </c>
      <c r="N513" s="6" t="s">
        <v>2168</v>
      </c>
      <c r="O513">
        <v>10.5</v>
      </c>
      <c r="P513">
        <v>35</v>
      </c>
      <c r="Q513">
        <v>4</v>
      </c>
      <c r="R513">
        <v>10.5</v>
      </c>
      <c r="S513">
        <v>35</v>
      </c>
      <c r="T513" t="s">
        <v>1933</v>
      </c>
      <c r="U513" t="s">
        <v>2009</v>
      </c>
      <c r="V513" t="s">
        <v>2024</v>
      </c>
      <c r="W513" t="s">
        <v>2016</v>
      </c>
      <c r="X513" t="s">
        <v>2039</v>
      </c>
    </row>
    <row r="514" spans="1:24" x14ac:dyDescent="0.3">
      <c r="A514" t="s">
        <v>1587</v>
      </c>
      <c r="B514" t="s">
        <v>3826</v>
      </c>
      <c r="D514">
        <f>AVERAGE(30.431,30.007,30.494,30.755,30.43,29.845,30.928)</f>
        <v>30.412857142857142</v>
      </c>
      <c r="E514">
        <f>AVERAGE(10176,10085,10219,10231,10297,10148,10074)</f>
        <v>10175.714285714286</v>
      </c>
      <c r="F514">
        <v>54</v>
      </c>
      <c r="G514" s="11"/>
      <c r="H514" t="s">
        <v>340</v>
      </c>
      <c r="I514">
        <v>10084</v>
      </c>
      <c r="J514">
        <v>4742081</v>
      </c>
      <c r="M514" t="s">
        <v>1691</v>
      </c>
      <c r="N514" s="6" t="s">
        <v>2168</v>
      </c>
      <c r="O514">
        <v>11</v>
      </c>
      <c r="P514">
        <v>38</v>
      </c>
      <c r="Q514">
        <v>9</v>
      </c>
      <c r="R514">
        <v>11</v>
      </c>
      <c r="S514">
        <v>38</v>
      </c>
      <c r="T514" t="s">
        <v>1933</v>
      </c>
      <c r="U514" t="s">
        <v>2009</v>
      </c>
      <c r="V514" t="s">
        <v>2024</v>
      </c>
      <c r="W514" t="s">
        <v>2016</v>
      </c>
      <c r="X514" t="s">
        <v>2039</v>
      </c>
    </row>
    <row r="515" spans="1:24" x14ac:dyDescent="0.3">
      <c r="A515" t="s">
        <v>1589</v>
      </c>
      <c r="B515" t="s">
        <v>3827</v>
      </c>
      <c r="D515">
        <v>40</v>
      </c>
      <c r="E515">
        <v>12121</v>
      </c>
      <c r="F515">
        <v>51</v>
      </c>
      <c r="G515" s="11"/>
      <c r="H515" t="s">
        <v>1746</v>
      </c>
      <c r="I515">
        <v>11927</v>
      </c>
      <c r="J515">
        <v>5347930</v>
      </c>
      <c r="M515" t="s">
        <v>1691</v>
      </c>
      <c r="N515" s="6" t="s">
        <v>2168</v>
      </c>
      <c r="O515">
        <v>9</v>
      </c>
      <c r="P515">
        <v>35</v>
      </c>
      <c r="Q515">
        <v>8</v>
      </c>
      <c r="R515">
        <v>9</v>
      </c>
      <c r="S515">
        <v>35</v>
      </c>
      <c r="T515" t="s">
        <v>1934</v>
      </c>
      <c r="U515" t="s">
        <v>2010</v>
      </c>
      <c r="V515" t="s">
        <v>2025</v>
      </c>
      <c r="W515" t="s">
        <v>2021</v>
      </c>
    </row>
    <row r="516" spans="1:24" x14ac:dyDescent="0.3">
      <c r="A516" t="s">
        <v>1591</v>
      </c>
      <c r="B516" t="s">
        <v>3828</v>
      </c>
      <c r="D516">
        <v>66</v>
      </c>
      <c r="E516">
        <v>29551</v>
      </c>
      <c r="F516">
        <v>51</v>
      </c>
      <c r="G516" s="11"/>
      <c r="H516" t="s">
        <v>1746</v>
      </c>
      <c r="I516">
        <v>23094</v>
      </c>
      <c r="J516">
        <v>9045319</v>
      </c>
      <c r="M516" t="s">
        <v>1691</v>
      </c>
      <c r="N516" s="6" t="s">
        <v>2168</v>
      </c>
      <c r="O516">
        <v>4</v>
      </c>
      <c r="P516">
        <v>38</v>
      </c>
      <c r="Q516">
        <v>114</v>
      </c>
      <c r="R516">
        <v>4</v>
      </c>
      <c r="S516">
        <v>38</v>
      </c>
      <c r="T516" t="s">
        <v>1934</v>
      </c>
      <c r="U516" t="s">
        <v>2010</v>
      </c>
      <c r="V516" t="s">
        <v>2025</v>
      </c>
      <c r="W516" t="s">
        <v>2021</v>
      </c>
    </row>
    <row r="517" spans="1:24" x14ac:dyDescent="0.3">
      <c r="A517" t="s">
        <v>1593</v>
      </c>
      <c r="B517" t="s">
        <v>3829</v>
      </c>
      <c r="D517">
        <v>230.6</v>
      </c>
      <c r="E517">
        <v>14346</v>
      </c>
      <c r="F517">
        <v>53.5</v>
      </c>
      <c r="G517" s="8" t="s">
        <v>2133</v>
      </c>
      <c r="H517" t="s">
        <v>383</v>
      </c>
      <c r="I517" t="s">
        <v>383</v>
      </c>
      <c r="J517" t="s">
        <v>383</v>
      </c>
      <c r="M517" t="s">
        <v>1691</v>
      </c>
      <c r="N517" s="6" t="s">
        <v>2168</v>
      </c>
      <c r="O517">
        <v>5</v>
      </c>
      <c r="P517">
        <v>35</v>
      </c>
      <c r="Q517">
        <v>11</v>
      </c>
      <c r="R517">
        <v>5</v>
      </c>
      <c r="S517">
        <v>35</v>
      </c>
      <c r="T517" t="s">
        <v>1934</v>
      </c>
      <c r="U517" t="s">
        <v>2010</v>
      </c>
      <c r="V517" t="s">
        <v>2025</v>
      </c>
      <c r="W517" t="s">
        <v>2021</v>
      </c>
    </row>
    <row r="518" spans="1:24" x14ac:dyDescent="0.3">
      <c r="A518" t="s">
        <v>1595</v>
      </c>
      <c r="B518" t="s">
        <v>3830</v>
      </c>
      <c r="D518">
        <v>78.8</v>
      </c>
      <c r="E518">
        <v>23805</v>
      </c>
      <c r="F518">
        <v>51</v>
      </c>
      <c r="G518" s="11"/>
      <c r="H518" t="s">
        <v>383</v>
      </c>
      <c r="I518" t="s">
        <v>383</v>
      </c>
      <c r="J518" t="s">
        <v>383</v>
      </c>
      <c r="M518" t="s">
        <v>1691</v>
      </c>
      <c r="N518" s="6" t="s">
        <v>2168</v>
      </c>
      <c r="O518">
        <v>8</v>
      </c>
      <c r="P518">
        <v>37.5</v>
      </c>
      <c r="Q518">
        <v>14</v>
      </c>
      <c r="R518">
        <v>8</v>
      </c>
      <c r="S518">
        <v>37.5</v>
      </c>
      <c r="T518" t="s">
        <v>1934</v>
      </c>
      <c r="U518" t="s">
        <v>2010</v>
      </c>
      <c r="V518" t="s">
        <v>2025</v>
      </c>
      <c r="W518" t="s">
        <v>2021</v>
      </c>
    </row>
    <row r="519" spans="1:24" x14ac:dyDescent="0.3">
      <c r="A519" t="s">
        <v>1597</v>
      </c>
      <c r="B519" t="s">
        <v>3831</v>
      </c>
      <c r="D519">
        <v>109.7</v>
      </c>
      <c r="E519">
        <v>19973</v>
      </c>
      <c r="F519">
        <v>54</v>
      </c>
      <c r="G519" s="11"/>
      <c r="H519" t="s">
        <v>340</v>
      </c>
      <c r="I519">
        <v>19137</v>
      </c>
      <c r="J519">
        <v>9455884</v>
      </c>
      <c r="M519" t="s">
        <v>1691</v>
      </c>
      <c r="N519" s="6" t="s">
        <v>2168</v>
      </c>
      <c r="O519">
        <v>5</v>
      </c>
      <c r="P519">
        <v>35</v>
      </c>
      <c r="Q519">
        <v>33</v>
      </c>
      <c r="R519">
        <v>5</v>
      </c>
      <c r="S519">
        <v>35</v>
      </c>
      <c r="T519" t="s">
        <v>1934</v>
      </c>
      <c r="U519" t="s">
        <v>2010</v>
      </c>
      <c r="V519" t="s">
        <v>2025</v>
      </c>
      <c r="W519" t="s">
        <v>2021</v>
      </c>
    </row>
    <row r="520" spans="1:24" x14ac:dyDescent="0.3">
      <c r="A520" t="s">
        <v>1599</v>
      </c>
      <c r="B520" t="s">
        <v>3832</v>
      </c>
      <c r="D520">
        <v>50.3</v>
      </c>
      <c r="E520">
        <v>16662</v>
      </c>
      <c r="F520">
        <v>52</v>
      </c>
      <c r="G520" s="8" t="s">
        <v>2134</v>
      </c>
      <c r="H520" t="s">
        <v>383</v>
      </c>
      <c r="I520" t="s">
        <v>383</v>
      </c>
      <c r="J520" t="s">
        <v>383</v>
      </c>
      <c r="M520" t="s">
        <v>1691</v>
      </c>
      <c r="N520" s="6" t="s">
        <v>2168</v>
      </c>
      <c r="O520">
        <v>5</v>
      </c>
      <c r="P520">
        <v>33</v>
      </c>
      <c r="Q520">
        <v>12</v>
      </c>
      <c r="R520">
        <v>5</v>
      </c>
      <c r="S520">
        <v>33</v>
      </c>
      <c r="T520" t="s">
        <v>1934</v>
      </c>
      <c r="U520" t="s">
        <v>2010</v>
      </c>
      <c r="V520" t="s">
        <v>2025</v>
      </c>
      <c r="W520" t="s">
        <v>2021</v>
      </c>
    </row>
    <row r="521" spans="1:24" x14ac:dyDescent="0.3">
      <c r="A521" t="s">
        <v>1601</v>
      </c>
      <c r="B521" t="s">
        <v>3833</v>
      </c>
      <c r="D521">
        <v>48.4</v>
      </c>
      <c r="E521">
        <v>16468</v>
      </c>
      <c r="F521">
        <v>50.5</v>
      </c>
      <c r="G521" s="11"/>
      <c r="H521" t="s">
        <v>340</v>
      </c>
      <c r="I521">
        <v>16447</v>
      </c>
      <c r="J521">
        <v>8187786</v>
      </c>
      <c r="M521" t="s">
        <v>1691</v>
      </c>
      <c r="N521" s="6" t="s">
        <v>2168</v>
      </c>
      <c r="O521">
        <v>5</v>
      </c>
      <c r="P521">
        <v>37</v>
      </c>
      <c r="Q521">
        <v>41</v>
      </c>
      <c r="R521">
        <v>5</v>
      </c>
      <c r="S521">
        <v>37</v>
      </c>
      <c r="T521" t="s">
        <v>1934</v>
      </c>
      <c r="U521" t="s">
        <v>2010</v>
      </c>
      <c r="V521" t="s">
        <v>2025</v>
      </c>
      <c r="W521" t="s">
        <v>2021</v>
      </c>
    </row>
    <row r="522" spans="1:24" x14ac:dyDescent="0.3">
      <c r="A522" t="s">
        <v>1603</v>
      </c>
      <c r="B522" t="s">
        <v>3834</v>
      </c>
      <c r="D522">
        <v>92.5</v>
      </c>
      <c r="E522">
        <v>18322</v>
      </c>
      <c r="F522">
        <v>51</v>
      </c>
      <c r="G522" s="8" t="s">
        <v>2135</v>
      </c>
      <c r="H522" t="s">
        <v>383</v>
      </c>
      <c r="I522" t="s">
        <v>383</v>
      </c>
      <c r="J522" t="s">
        <v>383</v>
      </c>
      <c r="M522" t="s">
        <v>1691</v>
      </c>
      <c r="N522" s="6" t="s">
        <v>2168</v>
      </c>
      <c r="O522">
        <v>8</v>
      </c>
      <c r="P522">
        <v>35</v>
      </c>
      <c r="Q522">
        <v>12</v>
      </c>
      <c r="R522">
        <v>8</v>
      </c>
      <c r="S522">
        <v>35</v>
      </c>
      <c r="T522" t="s">
        <v>1934</v>
      </c>
      <c r="U522" t="s">
        <v>2010</v>
      </c>
      <c r="V522" t="s">
        <v>2025</v>
      </c>
      <c r="W522" t="s">
        <v>2021</v>
      </c>
    </row>
    <row r="523" spans="1:24" ht="15.6" x14ac:dyDescent="0.3">
      <c r="A523" t="s">
        <v>1605</v>
      </c>
      <c r="B523" t="s">
        <v>3835</v>
      </c>
      <c r="D523">
        <v>63.8</v>
      </c>
      <c r="E523" s="10">
        <v>24566</v>
      </c>
      <c r="F523">
        <v>52.5</v>
      </c>
      <c r="G523" s="8" t="s">
        <v>2133</v>
      </c>
      <c r="H523" t="s">
        <v>383</v>
      </c>
      <c r="I523" t="s">
        <v>383</v>
      </c>
      <c r="J523" t="s">
        <v>383</v>
      </c>
      <c r="M523" t="s">
        <v>1691</v>
      </c>
      <c r="N523" s="6" t="s">
        <v>2168</v>
      </c>
      <c r="O523">
        <v>5</v>
      </c>
      <c r="P523">
        <v>35</v>
      </c>
      <c r="Q523">
        <v>8</v>
      </c>
      <c r="R523">
        <v>5</v>
      </c>
      <c r="S523">
        <v>35</v>
      </c>
      <c r="T523" t="s">
        <v>1934</v>
      </c>
      <c r="U523" t="s">
        <v>2010</v>
      </c>
      <c r="V523" t="s">
        <v>2025</v>
      </c>
      <c r="W523" t="s">
        <v>2021</v>
      </c>
    </row>
    <row r="524" spans="1:24" x14ac:dyDescent="0.3">
      <c r="A524" t="s">
        <v>1607</v>
      </c>
      <c r="B524" t="s">
        <v>3836</v>
      </c>
      <c r="D524">
        <v>84.5</v>
      </c>
      <c r="F524">
        <v>51.5</v>
      </c>
      <c r="G524" s="11"/>
      <c r="H524" t="s">
        <v>383</v>
      </c>
      <c r="I524" t="s">
        <v>383</v>
      </c>
      <c r="J524" t="s">
        <v>383</v>
      </c>
      <c r="M524" t="s">
        <v>1691</v>
      </c>
      <c r="N524" s="6" t="s">
        <v>2168</v>
      </c>
      <c r="O524">
        <v>5</v>
      </c>
      <c r="P524">
        <v>32</v>
      </c>
      <c r="Q524">
        <v>8</v>
      </c>
      <c r="R524">
        <v>5</v>
      </c>
      <c r="S524">
        <v>32</v>
      </c>
      <c r="T524" t="s">
        <v>1934</v>
      </c>
      <c r="U524" t="s">
        <v>2010</v>
      </c>
      <c r="V524" t="s">
        <v>2025</v>
      </c>
      <c r="W524" t="s">
        <v>2021</v>
      </c>
    </row>
    <row r="525" spans="1:24" x14ac:dyDescent="0.3">
      <c r="A525" t="s">
        <v>1305</v>
      </c>
      <c r="B525" t="s">
        <v>138</v>
      </c>
      <c r="D525">
        <v>228.5</v>
      </c>
      <c r="E525">
        <f>AVERAGE(17797,20172,23771)</f>
        <v>20580</v>
      </c>
      <c r="F525">
        <v>51</v>
      </c>
      <c r="G525" s="8" t="s">
        <v>2136</v>
      </c>
      <c r="H525" t="s">
        <v>1746</v>
      </c>
      <c r="I525">
        <v>19701</v>
      </c>
      <c r="J525">
        <v>8081228</v>
      </c>
      <c r="K525">
        <v>6</v>
      </c>
      <c r="L525">
        <v>27</v>
      </c>
      <c r="M525" t="s">
        <v>226</v>
      </c>
      <c r="N525" s="6" t="s">
        <v>2444</v>
      </c>
      <c r="O525">
        <v>1.5</v>
      </c>
      <c r="P525">
        <v>36.5</v>
      </c>
      <c r="Q525">
        <v>112</v>
      </c>
      <c r="R525">
        <v>1.5</v>
      </c>
      <c r="S525">
        <v>36.5</v>
      </c>
      <c r="T525" t="s">
        <v>1934</v>
      </c>
      <c r="U525" t="s">
        <v>2010</v>
      </c>
      <c r="V525" t="s">
        <v>2025</v>
      </c>
      <c r="W525" t="s">
        <v>2021</v>
      </c>
    </row>
    <row r="526" spans="1:24" x14ac:dyDescent="0.3">
      <c r="A526" t="s">
        <v>1609</v>
      </c>
      <c r="B526" t="s">
        <v>3837</v>
      </c>
      <c r="D526">
        <v>58.7</v>
      </c>
      <c r="F526">
        <v>50.5</v>
      </c>
      <c r="G526" s="11"/>
      <c r="H526" t="s">
        <v>383</v>
      </c>
      <c r="I526" t="s">
        <v>383</v>
      </c>
      <c r="J526" t="s">
        <v>383</v>
      </c>
      <c r="M526" t="s">
        <v>1691</v>
      </c>
      <c r="N526" s="6" t="s">
        <v>2168</v>
      </c>
      <c r="O526">
        <v>8</v>
      </c>
      <c r="P526">
        <v>35</v>
      </c>
      <c r="Q526">
        <v>9</v>
      </c>
      <c r="R526">
        <v>8</v>
      </c>
      <c r="S526">
        <v>35</v>
      </c>
      <c r="T526" t="s">
        <v>1934</v>
      </c>
      <c r="U526" t="s">
        <v>2010</v>
      </c>
      <c r="V526" t="s">
        <v>2025</v>
      </c>
      <c r="W526" t="s">
        <v>2021</v>
      </c>
    </row>
    <row r="527" spans="1:24" x14ac:dyDescent="0.3">
      <c r="A527" t="s">
        <v>1610</v>
      </c>
      <c r="B527" t="s">
        <v>3838</v>
      </c>
      <c r="D527">
        <f>AVERAGE(81.61,71.41)</f>
        <v>76.509999999999991</v>
      </c>
      <c r="E527">
        <f>AVERAGE(22280,17348)</f>
        <v>19814</v>
      </c>
      <c r="F527">
        <f>AVERAGE(50.18,49.78)</f>
        <v>49.980000000000004</v>
      </c>
      <c r="G527" s="8" t="s">
        <v>2133</v>
      </c>
      <c r="H527" t="s">
        <v>1746</v>
      </c>
      <c r="I527">
        <v>15887</v>
      </c>
      <c r="J527">
        <v>8238870</v>
      </c>
      <c r="M527" t="s">
        <v>1691</v>
      </c>
      <c r="N527" s="6" t="s">
        <v>2168</v>
      </c>
      <c r="O527">
        <v>5</v>
      </c>
      <c r="P527">
        <v>44</v>
      </c>
      <c r="Q527">
        <v>309</v>
      </c>
      <c r="R527">
        <v>5</v>
      </c>
      <c r="S527">
        <v>44</v>
      </c>
      <c r="T527" t="s">
        <v>1934</v>
      </c>
      <c r="U527" t="s">
        <v>2010</v>
      </c>
      <c r="V527" t="s">
        <v>2025</v>
      </c>
      <c r="W527" t="s">
        <v>2021</v>
      </c>
    </row>
    <row r="528" spans="1:24" x14ac:dyDescent="0.3">
      <c r="A528" t="s">
        <v>1612</v>
      </c>
      <c r="B528" t="s">
        <v>3839</v>
      </c>
      <c r="D528">
        <v>51.5</v>
      </c>
      <c r="E528">
        <v>16386</v>
      </c>
      <c r="F528">
        <v>52</v>
      </c>
      <c r="G528" s="8" t="s">
        <v>2137</v>
      </c>
      <c r="H528" t="s">
        <v>383</v>
      </c>
      <c r="I528" t="s">
        <v>383</v>
      </c>
      <c r="J528" t="s">
        <v>383</v>
      </c>
      <c r="M528" t="s">
        <v>1691</v>
      </c>
      <c r="N528" s="6" t="s">
        <v>2168</v>
      </c>
      <c r="O528">
        <v>8</v>
      </c>
      <c r="P528">
        <v>35</v>
      </c>
      <c r="Q528">
        <v>2</v>
      </c>
      <c r="R528">
        <v>8</v>
      </c>
      <c r="S528">
        <v>35</v>
      </c>
      <c r="T528" t="s">
        <v>1934</v>
      </c>
      <c r="U528" t="s">
        <v>2010</v>
      </c>
      <c r="V528" t="s">
        <v>2025</v>
      </c>
      <c r="W528" t="s">
        <v>2021</v>
      </c>
    </row>
    <row r="529" spans="1:24" x14ac:dyDescent="0.3">
      <c r="A529" t="s">
        <v>1614</v>
      </c>
      <c r="B529" t="s">
        <v>3840</v>
      </c>
      <c r="D529">
        <v>41.7</v>
      </c>
      <c r="F529">
        <v>58</v>
      </c>
      <c r="G529" s="11"/>
      <c r="H529" t="s">
        <v>383</v>
      </c>
      <c r="I529" t="s">
        <v>383</v>
      </c>
      <c r="J529" t="s">
        <v>383</v>
      </c>
      <c r="M529" t="s">
        <v>1691</v>
      </c>
      <c r="N529" s="6" t="s">
        <v>2168</v>
      </c>
      <c r="O529">
        <v>5</v>
      </c>
      <c r="P529">
        <v>35.5</v>
      </c>
      <c r="Q529">
        <v>3</v>
      </c>
      <c r="R529">
        <v>5</v>
      </c>
      <c r="S529">
        <v>35.5</v>
      </c>
      <c r="T529" t="s">
        <v>1935</v>
      </c>
      <c r="U529" t="s">
        <v>2010</v>
      </c>
      <c r="V529" t="s">
        <v>2025</v>
      </c>
      <c r="W529" t="s">
        <v>2020</v>
      </c>
    </row>
    <row r="530" spans="1:24" x14ac:dyDescent="0.3">
      <c r="A530" t="s">
        <v>1135</v>
      </c>
      <c r="B530" t="s">
        <v>173</v>
      </c>
      <c r="D530">
        <v>11.584</v>
      </c>
      <c r="E530">
        <v>5546</v>
      </c>
      <c r="F530">
        <v>44.85</v>
      </c>
      <c r="G530" s="11"/>
      <c r="H530" t="s">
        <v>1746</v>
      </c>
      <c r="I530">
        <v>4160</v>
      </c>
      <c r="J530">
        <v>2159257</v>
      </c>
      <c r="K530">
        <v>0</v>
      </c>
      <c r="L530">
        <v>45</v>
      </c>
      <c r="M530" t="s">
        <v>227</v>
      </c>
      <c r="N530" s="6" t="s">
        <v>2445</v>
      </c>
      <c r="O530" s="13"/>
      <c r="P530" s="13"/>
      <c r="R530">
        <v>0</v>
      </c>
      <c r="S530">
        <v>45</v>
      </c>
      <c r="T530" t="s">
        <v>1865</v>
      </c>
      <c r="U530" t="s">
        <v>2009</v>
      </c>
      <c r="V530" t="s">
        <v>2024</v>
      </c>
      <c r="W530" t="s">
        <v>2016</v>
      </c>
      <c r="X530" t="s">
        <v>3045</v>
      </c>
    </row>
    <row r="531" spans="1:24" x14ac:dyDescent="0.3">
      <c r="A531" t="s">
        <v>1136</v>
      </c>
      <c r="B531" t="s">
        <v>508</v>
      </c>
      <c r="D531">
        <v>11.788500000000001</v>
      </c>
      <c r="F531">
        <v>29.9</v>
      </c>
      <c r="G531" s="11"/>
      <c r="H531" t="s">
        <v>383</v>
      </c>
      <c r="I531" t="s">
        <v>383</v>
      </c>
      <c r="J531" t="s">
        <v>383</v>
      </c>
      <c r="K531">
        <v>21</v>
      </c>
      <c r="L531">
        <v>35</v>
      </c>
      <c r="M531" t="s">
        <v>227</v>
      </c>
      <c r="N531" s="6" t="s">
        <v>2234</v>
      </c>
      <c r="R531">
        <v>21</v>
      </c>
      <c r="S531">
        <v>35</v>
      </c>
      <c r="T531" t="s">
        <v>1865</v>
      </c>
      <c r="U531" t="s">
        <v>2009</v>
      </c>
      <c r="V531" t="s">
        <v>2024</v>
      </c>
      <c r="W531" t="s">
        <v>2016</v>
      </c>
      <c r="X531" t="s">
        <v>3045</v>
      </c>
    </row>
    <row r="532" spans="1:24" x14ac:dyDescent="0.3">
      <c r="A532" t="s">
        <v>1138</v>
      </c>
      <c r="B532" t="s">
        <v>201</v>
      </c>
      <c r="D532">
        <v>92.528000000000006</v>
      </c>
      <c r="E532">
        <v>16924</v>
      </c>
      <c r="F532">
        <v>49</v>
      </c>
      <c r="G532" s="11"/>
      <c r="H532" t="s">
        <v>1746</v>
      </c>
      <c r="I532">
        <v>22400</v>
      </c>
      <c r="J532">
        <v>6500812</v>
      </c>
      <c r="K532">
        <v>10</v>
      </c>
      <c r="L532">
        <v>33</v>
      </c>
      <c r="M532" t="s">
        <v>226</v>
      </c>
      <c r="N532" s="6" t="s">
        <v>2446</v>
      </c>
      <c r="R532">
        <v>10</v>
      </c>
      <c r="S532">
        <v>33</v>
      </c>
      <c r="T532" t="s">
        <v>1936</v>
      </c>
      <c r="U532" t="s">
        <v>2009</v>
      </c>
      <c r="V532" t="s">
        <v>2024</v>
      </c>
      <c r="W532" t="s">
        <v>2015</v>
      </c>
      <c r="X532" t="s">
        <v>3039</v>
      </c>
    </row>
    <row r="533" spans="1:24" x14ac:dyDescent="0.3">
      <c r="A533" t="s">
        <v>1616</v>
      </c>
      <c r="B533" t="s">
        <v>3841</v>
      </c>
      <c r="D533">
        <v>92.9</v>
      </c>
      <c r="E533">
        <v>17014</v>
      </c>
      <c r="F533">
        <v>45</v>
      </c>
      <c r="G533" s="8" t="s">
        <v>2138</v>
      </c>
      <c r="H533" t="s">
        <v>383</v>
      </c>
      <c r="I533" t="s">
        <v>383</v>
      </c>
      <c r="J533" t="s">
        <v>383</v>
      </c>
      <c r="M533" t="s">
        <v>1691</v>
      </c>
      <c r="N533" s="6" t="s">
        <v>2168</v>
      </c>
      <c r="O533">
        <v>5</v>
      </c>
      <c r="P533">
        <v>35</v>
      </c>
      <c r="Q533">
        <v>45</v>
      </c>
      <c r="R533">
        <v>5</v>
      </c>
      <c r="S533">
        <v>35</v>
      </c>
      <c r="T533" t="s">
        <v>1937</v>
      </c>
      <c r="U533" t="s">
        <v>2010</v>
      </c>
      <c r="V533" t="s">
        <v>2025</v>
      </c>
      <c r="W533" t="s">
        <v>2021</v>
      </c>
    </row>
    <row r="534" spans="1:24" x14ac:dyDescent="0.3">
      <c r="A534" t="s">
        <v>1378</v>
      </c>
      <c r="B534" t="s">
        <v>3842</v>
      </c>
      <c r="D534">
        <v>34.200000000000003</v>
      </c>
      <c r="E534">
        <v>13297</v>
      </c>
      <c r="F534">
        <v>51.5</v>
      </c>
      <c r="G534" s="11"/>
      <c r="H534" t="s">
        <v>1746</v>
      </c>
      <c r="I534">
        <v>13190</v>
      </c>
      <c r="J534">
        <v>5814613</v>
      </c>
      <c r="M534" t="s">
        <v>1691</v>
      </c>
      <c r="N534" s="6" t="s">
        <v>2168</v>
      </c>
      <c r="O534">
        <v>10</v>
      </c>
      <c r="P534">
        <v>30</v>
      </c>
      <c r="Q534">
        <v>9</v>
      </c>
      <c r="R534">
        <v>10</v>
      </c>
      <c r="S534">
        <v>30</v>
      </c>
      <c r="T534" t="s">
        <v>1938</v>
      </c>
      <c r="U534" t="s">
        <v>2009</v>
      </c>
      <c r="V534" t="s">
        <v>2024</v>
      </c>
      <c r="W534" t="s">
        <v>2016</v>
      </c>
      <c r="X534" t="s">
        <v>2039</v>
      </c>
    </row>
    <row r="535" spans="1:24" x14ac:dyDescent="0.3">
      <c r="A535" t="s">
        <v>1619</v>
      </c>
      <c r="B535" t="s">
        <v>3843</v>
      </c>
      <c r="C535" t="s">
        <v>2029</v>
      </c>
      <c r="D535">
        <v>40.265000000000001</v>
      </c>
      <c r="E535">
        <v>14311</v>
      </c>
      <c r="F535">
        <v>49.06</v>
      </c>
      <c r="G535" s="11"/>
      <c r="H535" t="s">
        <v>383</v>
      </c>
      <c r="I535" t="s">
        <v>383</v>
      </c>
      <c r="J535" t="s">
        <v>383</v>
      </c>
      <c r="M535" t="s">
        <v>1691</v>
      </c>
      <c r="N535" s="6" t="s">
        <v>2168</v>
      </c>
      <c r="O535">
        <v>0.55000000000000004</v>
      </c>
      <c r="P535">
        <v>30.6</v>
      </c>
      <c r="Q535">
        <v>18</v>
      </c>
      <c r="R535">
        <v>0.55000000000000004</v>
      </c>
      <c r="S535">
        <v>30.6</v>
      </c>
      <c r="T535" t="s">
        <v>1938</v>
      </c>
      <c r="U535" t="s">
        <v>2009</v>
      </c>
      <c r="V535" t="s">
        <v>2024</v>
      </c>
      <c r="W535" t="s">
        <v>2016</v>
      </c>
      <c r="X535" t="s">
        <v>2039</v>
      </c>
    </row>
    <row r="536" spans="1:24" x14ac:dyDescent="0.3">
      <c r="A536" t="s">
        <v>1139</v>
      </c>
      <c r="B536" t="s">
        <v>323</v>
      </c>
      <c r="D536">
        <v>37.713500000000003</v>
      </c>
      <c r="E536">
        <v>15237</v>
      </c>
      <c r="F536">
        <v>49.35</v>
      </c>
      <c r="G536" s="8" t="s">
        <v>2058</v>
      </c>
      <c r="H536" t="s">
        <v>383</v>
      </c>
      <c r="I536" t="s">
        <v>383</v>
      </c>
      <c r="J536" t="s">
        <v>383</v>
      </c>
      <c r="K536">
        <v>14</v>
      </c>
      <c r="L536">
        <v>32</v>
      </c>
      <c r="M536" t="s">
        <v>226</v>
      </c>
      <c r="N536" s="6" t="s">
        <v>2447</v>
      </c>
      <c r="R536">
        <v>14</v>
      </c>
      <c r="S536">
        <v>32</v>
      </c>
      <c r="T536" t="s">
        <v>1939</v>
      </c>
      <c r="U536" t="s">
        <v>2009</v>
      </c>
      <c r="V536" t="s">
        <v>2024</v>
      </c>
      <c r="W536" t="s">
        <v>2015</v>
      </c>
      <c r="X536" t="s">
        <v>3039</v>
      </c>
    </row>
    <row r="537" spans="1:24" x14ac:dyDescent="0.3">
      <c r="A537" t="s">
        <v>1140</v>
      </c>
      <c r="B537" t="s">
        <v>324</v>
      </c>
      <c r="D537">
        <v>49.9178</v>
      </c>
      <c r="E537">
        <v>15954</v>
      </c>
      <c r="F537">
        <v>49.4</v>
      </c>
      <c r="G537" s="8" t="s">
        <v>2058</v>
      </c>
      <c r="H537" t="s">
        <v>1746</v>
      </c>
      <c r="I537">
        <v>15897</v>
      </c>
      <c r="J537">
        <v>6027849</v>
      </c>
      <c r="K537">
        <v>9</v>
      </c>
      <c r="L537">
        <v>38</v>
      </c>
      <c r="M537" t="s">
        <v>226</v>
      </c>
      <c r="N537" s="6" t="s">
        <v>2448</v>
      </c>
      <c r="R537">
        <v>9</v>
      </c>
      <c r="S537">
        <v>38</v>
      </c>
      <c r="T537" t="s">
        <v>1939</v>
      </c>
      <c r="U537" t="s">
        <v>2009</v>
      </c>
      <c r="V537" t="s">
        <v>2024</v>
      </c>
      <c r="W537" t="s">
        <v>2015</v>
      </c>
      <c r="X537" t="s">
        <v>3039</v>
      </c>
    </row>
    <row r="538" spans="1:24" x14ac:dyDescent="0.3">
      <c r="A538" t="s">
        <v>1745</v>
      </c>
      <c r="B538" s="17" t="s">
        <v>1737</v>
      </c>
      <c r="D538">
        <v>40.1</v>
      </c>
      <c r="E538">
        <v>12628</v>
      </c>
      <c r="F538">
        <v>50.5</v>
      </c>
      <c r="G538" s="8" t="s">
        <v>2139</v>
      </c>
      <c r="H538" t="s">
        <v>383</v>
      </c>
      <c r="I538" t="s">
        <v>383</v>
      </c>
      <c r="J538" t="s">
        <v>383</v>
      </c>
      <c r="K538">
        <v>17</v>
      </c>
      <c r="L538">
        <v>33</v>
      </c>
      <c r="M538" t="s">
        <v>237</v>
      </c>
      <c r="N538" s="6" t="s">
        <v>2449</v>
      </c>
      <c r="R538">
        <v>17</v>
      </c>
      <c r="S538">
        <v>33</v>
      </c>
      <c r="T538" t="s">
        <v>1939</v>
      </c>
      <c r="U538" t="s">
        <v>2009</v>
      </c>
      <c r="V538" t="s">
        <v>2024</v>
      </c>
      <c r="W538" t="s">
        <v>2015</v>
      </c>
      <c r="X538" t="s">
        <v>3039</v>
      </c>
    </row>
    <row r="539" spans="1:24" x14ac:dyDescent="0.3">
      <c r="A539" t="s">
        <v>1141</v>
      </c>
      <c r="B539" t="s">
        <v>191</v>
      </c>
      <c r="D539">
        <f>AVERAGE(34.343,35.63)</f>
        <v>34.986500000000007</v>
      </c>
      <c r="E539">
        <f>AVERAGE(12330,12206)</f>
        <v>12268</v>
      </c>
      <c r="F539">
        <v>50.9</v>
      </c>
      <c r="G539" s="11"/>
      <c r="H539" t="s">
        <v>1746</v>
      </c>
      <c r="I539">
        <v>12186</v>
      </c>
      <c r="J539">
        <v>5090183</v>
      </c>
      <c r="K539">
        <v>10</v>
      </c>
      <c r="L539">
        <v>36</v>
      </c>
      <c r="M539" t="s">
        <v>226</v>
      </c>
      <c r="N539" s="6" t="s">
        <v>2450</v>
      </c>
      <c r="Q539" t="s">
        <v>559</v>
      </c>
      <c r="R539">
        <v>10</v>
      </c>
      <c r="S539">
        <v>36</v>
      </c>
      <c r="T539" t="s">
        <v>1939</v>
      </c>
      <c r="U539" t="s">
        <v>2009</v>
      </c>
      <c r="V539" t="s">
        <v>2024</v>
      </c>
      <c r="W539" t="s">
        <v>2015</v>
      </c>
      <c r="X539" t="s">
        <v>3039</v>
      </c>
    </row>
    <row r="540" spans="1:24" x14ac:dyDescent="0.3">
      <c r="A540" t="s">
        <v>1142</v>
      </c>
      <c r="B540" t="s">
        <v>83</v>
      </c>
      <c r="D540">
        <v>7.6609999999999996</v>
      </c>
      <c r="E540">
        <v>3646</v>
      </c>
      <c r="F540">
        <v>38</v>
      </c>
      <c r="G540" s="8" t="s">
        <v>2140</v>
      </c>
      <c r="H540" t="s">
        <v>340</v>
      </c>
      <c r="I540">
        <v>3646</v>
      </c>
      <c r="J540">
        <v>1693451</v>
      </c>
      <c r="K540">
        <v>28</v>
      </c>
      <c r="L540">
        <v>40</v>
      </c>
      <c r="M540" t="s">
        <v>227</v>
      </c>
      <c r="N540" s="6" t="s">
        <v>2451</v>
      </c>
      <c r="R540">
        <v>28</v>
      </c>
      <c r="S540">
        <v>40</v>
      </c>
      <c r="T540" t="s">
        <v>655</v>
      </c>
      <c r="U540" t="s">
        <v>2009</v>
      </c>
      <c r="V540" t="s">
        <v>2024</v>
      </c>
      <c r="W540" t="s">
        <v>2016</v>
      </c>
      <c r="X540" t="s">
        <v>3051</v>
      </c>
    </row>
    <row r="541" spans="1:24" x14ac:dyDescent="0.3">
      <c r="A541" t="s">
        <v>1143</v>
      </c>
      <c r="B541" t="s">
        <v>118</v>
      </c>
      <c r="D541">
        <f>AVERAGE(8.396,8.153)</f>
        <v>8.2744999999999997</v>
      </c>
      <c r="E541">
        <f>AVERAGE(3761,3520)</f>
        <v>3640.5</v>
      </c>
      <c r="F541">
        <v>28.4</v>
      </c>
      <c r="G541" s="11"/>
      <c r="H541" t="s">
        <v>1746</v>
      </c>
      <c r="I541">
        <v>3419</v>
      </c>
      <c r="J541">
        <v>1381820</v>
      </c>
      <c r="K541">
        <v>33</v>
      </c>
      <c r="L541">
        <v>39</v>
      </c>
      <c r="M541" t="s">
        <v>227</v>
      </c>
      <c r="N541" s="6" t="s">
        <v>2452</v>
      </c>
      <c r="R541">
        <v>33</v>
      </c>
      <c r="S541">
        <v>39</v>
      </c>
      <c r="T541" t="s">
        <v>655</v>
      </c>
      <c r="U541" t="s">
        <v>2009</v>
      </c>
      <c r="V541" t="s">
        <v>2024</v>
      </c>
      <c r="W541" t="s">
        <v>2016</v>
      </c>
      <c r="X541" t="s">
        <v>3051</v>
      </c>
    </row>
    <row r="542" spans="1:24" x14ac:dyDescent="0.3">
      <c r="A542" t="s">
        <v>1144</v>
      </c>
      <c r="B542" t="s">
        <v>60</v>
      </c>
      <c r="C542" t="s">
        <v>567</v>
      </c>
      <c r="D542">
        <f>AVERAGE(39.719,42.068,41.854)</f>
        <v>41.213666666666668</v>
      </c>
      <c r="E542">
        <f>AVERAGE(12117,12070,11691)</f>
        <v>11959.333333333334</v>
      </c>
      <c r="F542">
        <v>48.9</v>
      </c>
      <c r="G542" s="11"/>
      <c r="H542" t="s">
        <v>1746</v>
      </c>
      <c r="I542">
        <v>1503</v>
      </c>
      <c r="J542">
        <v>701186</v>
      </c>
      <c r="K542">
        <v>0</v>
      </c>
      <c r="L542">
        <v>24</v>
      </c>
      <c r="M542" t="s">
        <v>226</v>
      </c>
      <c r="N542" s="6" t="s">
        <v>2391</v>
      </c>
      <c r="R542">
        <v>0</v>
      </c>
      <c r="S542">
        <v>24</v>
      </c>
      <c r="T542" t="s">
        <v>656</v>
      </c>
      <c r="U542" t="s">
        <v>2009</v>
      </c>
      <c r="V542" t="s">
        <v>2023</v>
      </c>
      <c r="W542" t="s">
        <v>2014</v>
      </c>
    </row>
    <row r="543" spans="1:24" x14ac:dyDescent="0.3">
      <c r="A543" t="s">
        <v>1621</v>
      </c>
      <c r="B543" t="s">
        <v>3844</v>
      </c>
      <c r="D543">
        <v>43.9</v>
      </c>
      <c r="E543">
        <v>9372</v>
      </c>
      <c r="F543">
        <v>43.5</v>
      </c>
      <c r="G543" s="8" t="s">
        <v>2141</v>
      </c>
      <c r="H543" t="s">
        <v>383</v>
      </c>
      <c r="I543" t="s">
        <v>383</v>
      </c>
      <c r="J543" t="s">
        <v>383</v>
      </c>
      <c r="M543" t="s">
        <v>1691</v>
      </c>
      <c r="N543" s="6" t="s">
        <v>2168</v>
      </c>
      <c r="O543">
        <v>5</v>
      </c>
      <c r="P543">
        <v>33</v>
      </c>
      <c r="Q543">
        <v>9</v>
      </c>
      <c r="R543">
        <v>5</v>
      </c>
      <c r="S543">
        <v>33</v>
      </c>
      <c r="T543" t="s">
        <v>1940</v>
      </c>
      <c r="U543" t="s">
        <v>2009</v>
      </c>
      <c r="V543" t="s">
        <v>2024</v>
      </c>
      <c r="W543" t="s">
        <v>2016</v>
      </c>
      <c r="X543" t="s">
        <v>2039</v>
      </c>
    </row>
    <row r="544" spans="1:24" x14ac:dyDescent="0.3">
      <c r="A544" t="s">
        <v>1580</v>
      </c>
      <c r="B544" t="s">
        <v>3845</v>
      </c>
      <c r="D544">
        <v>53.3</v>
      </c>
      <c r="F544">
        <v>49.5</v>
      </c>
      <c r="G544" s="11"/>
      <c r="H544" t="s">
        <v>383</v>
      </c>
      <c r="I544" t="s">
        <v>383</v>
      </c>
      <c r="J544" t="s">
        <v>383</v>
      </c>
      <c r="M544" t="s">
        <v>1691</v>
      </c>
      <c r="N544" s="6" t="s">
        <v>2168</v>
      </c>
      <c r="O544">
        <v>10</v>
      </c>
      <c r="P544">
        <v>40</v>
      </c>
      <c r="Q544">
        <v>6</v>
      </c>
      <c r="R544">
        <v>10</v>
      </c>
      <c r="S544">
        <v>40</v>
      </c>
      <c r="T544" t="s">
        <v>1941</v>
      </c>
      <c r="U544" t="s">
        <v>2009</v>
      </c>
      <c r="V544" t="s">
        <v>2024</v>
      </c>
      <c r="W544" t="s">
        <v>2015</v>
      </c>
      <c r="X544" t="s">
        <v>3039</v>
      </c>
    </row>
    <row r="545" spans="1:24" x14ac:dyDescent="0.3">
      <c r="A545" t="s">
        <v>1623</v>
      </c>
      <c r="B545" t="s">
        <v>3846</v>
      </c>
      <c r="D545">
        <v>85.198999999999998</v>
      </c>
      <c r="E545">
        <v>16879</v>
      </c>
      <c r="F545">
        <v>54.34</v>
      </c>
      <c r="G545" s="11"/>
      <c r="H545" t="s">
        <v>3707</v>
      </c>
      <c r="I545">
        <v>16879</v>
      </c>
      <c r="J545">
        <v>7686546</v>
      </c>
      <c r="M545" t="s">
        <v>1691</v>
      </c>
      <c r="N545" s="6" t="s">
        <v>2168</v>
      </c>
      <c r="O545">
        <v>5</v>
      </c>
      <c r="P545">
        <v>35</v>
      </c>
      <c r="Q545">
        <v>3</v>
      </c>
      <c r="R545">
        <v>5</v>
      </c>
      <c r="S545">
        <v>35</v>
      </c>
      <c r="T545" t="s">
        <v>1942</v>
      </c>
      <c r="U545" t="s">
        <v>2009</v>
      </c>
      <c r="V545" t="s">
        <v>2024</v>
      </c>
      <c r="W545" t="s">
        <v>2015</v>
      </c>
      <c r="X545" t="s">
        <v>3039</v>
      </c>
    </row>
    <row r="546" spans="1:24" x14ac:dyDescent="0.3">
      <c r="A546" t="s">
        <v>1147</v>
      </c>
      <c r="B546" t="s">
        <v>84</v>
      </c>
      <c r="C546" t="s">
        <v>350</v>
      </c>
      <c r="D546">
        <v>74.141000000000005</v>
      </c>
      <c r="E546">
        <v>13107</v>
      </c>
      <c r="F546">
        <v>50.05</v>
      </c>
      <c r="G546" s="11"/>
      <c r="H546" t="s">
        <v>1746</v>
      </c>
      <c r="I546">
        <v>13043</v>
      </c>
      <c r="J546">
        <v>5583998</v>
      </c>
      <c r="K546">
        <v>12</v>
      </c>
      <c r="L546">
        <v>36</v>
      </c>
      <c r="M546" t="s">
        <v>227</v>
      </c>
      <c r="N546" s="6" t="s">
        <v>2453</v>
      </c>
      <c r="R546">
        <v>12</v>
      </c>
      <c r="S546">
        <v>36</v>
      </c>
      <c r="T546" t="s">
        <v>657</v>
      </c>
      <c r="U546" t="s">
        <v>2009</v>
      </c>
      <c r="V546" t="s">
        <v>2024</v>
      </c>
      <c r="W546" t="s">
        <v>2016</v>
      </c>
      <c r="X546" t="s">
        <v>2039</v>
      </c>
    </row>
    <row r="547" spans="1:24" x14ac:dyDescent="0.3">
      <c r="A547" t="s">
        <v>1380</v>
      </c>
      <c r="B547" t="s">
        <v>3847</v>
      </c>
      <c r="D547">
        <v>74.099999999999994</v>
      </c>
      <c r="E547">
        <v>13125</v>
      </c>
      <c r="F547">
        <v>45</v>
      </c>
      <c r="G547" s="11"/>
      <c r="H547" t="s">
        <v>1746</v>
      </c>
      <c r="I547">
        <v>10380</v>
      </c>
      <c r="J547">
        <v>4929641</v>
      </c>
      <c r="M547" t="s">
        <v>1691</v>
      </c>
      <c r="N547" s="6" t="s">
        <v>2168</v>
      </c>
      <c r="O547">
        <v>9</v>
      </c>
      <c r="P547">
        <v>32</v>
      </c>
      <c r="Q547">
        <v>5</v>
      </c>
      <c r="R547">
        <v>9</v>
      </c>
      <c r="S547">
        <v>32</v>
      </c>
      <c r="T547" t="s">
        <v>657</v>
      </c>
      <c r="U547" t="s">
        <v>2009</v>
      </c>
      <c r="V547" t="s">
        <v>2024</v>
      </c>
      <c r="W547" t="s">
        <v>2016</v>
      </c>
      <c r="X547" t="s">
        <v>2039</v>
      </c>
    </row>
    <row r="548" spans="1:24" x14ac:dyDescent="0.3">
      <c r="A548" t="s">
        <v>1149</v>
      </c>
      <c r="B548" t="s">
        <v>50</v>
      </c>
      <c r="D548">
        <v>35.817999999999998</v>
      </c>
      <c r="E548">
        <v>9335</v>
      </c>
      <c r="F548">
        <v>49.8</v>
      </c>
      <c r="G548" s="11"/>
      <c r="H548" t="s">
        <v>1746</v>
      </c>
      <c r="I548">
        <v>9073</v>
      </c>
      <c r="J548">
        <v>4043260</v>
      </c>
      <c r="K548">
        <v>4</v>
      </c>
      <c r="L548">
        <v>19.8</v>
      </c>
      <c r="M548" t="s">
        <v>228</v>
      </c>
      <c r="N548" s="6" t="s">
        <v>2454</v>
      </c>
      <c r="R548">
        <v>4</v>
      </c>
      <c r="S548">
        <v>19.8</v>
      </c>
      <c r="T548" t="s">
        <v>1943</v>
      </c>
      <c r="U548" t="s">
        <v>2009</v>
      </c>
      <c r="V548" t="s">
        <v>2024</v>
      </c>
      <c r="W548" t="s">
        <v>2016</v>
      </c>
      <c r="X548" t="s">
        <v>2039</v>
      </c>
    </row>
    <row r="549" spans="1:24" x14ac:dyDescent="0.3">
      <c r="A549" t="s">
        <v>1009</v>
      </c>
      <c r="B549" t="s">
        <v>571</v>
      </c>
      <c r="C549" t="s">
        <v>572</v>
      </c>
      <c r="D549">
        <v>30.5</v>
      </c>
      <c r="E549">
        <v>9802</v>
      </c>
      <c r="F549">
        <v>50.36</v>
      </c>
      <c r="G549" s="11"/>
      <c r="H549" t="s">
        <v>383</v>
      </c>
      <c r="I549" t="s">
        <v>383</v>
      </c>
      <c r="J549" t="s">
        <v>383</v>
      </c>
      <c r="K549">
        <v>4</v>
      </c>
      <c r="L549">
        <v>30</v>
      </c>
      <c r="M549" t="s">
        <v>227</v>
      </c>
      <c r="N549" s="6" t="s">
        <v>2455</v>
      </c>
      <c r="R549">
        <v>4</v>
      </c>
      <c r="S549">
        <v>30</v>
      </c>
      <c r="T549" t="s">
        <v>1943</v>
      </c>
      <c r="U549" t="s">
        <v>2009</v>
      </c>
      <c r="V549" t="s">
        <v>2024</v>
      </c>
      <c r="W549" t="s">
        <v>2016</v>
      </c>
      <c r="X549" t="s">
        <v>2039</v>
      </c>
    </row>
    <row r="550" spans="1:24" x14ac:dyDescent="0.3">
      <c r="A550" t="s">
        <v>1625</v>
      </c>
      <c r="B550" t="s">
        <v>3848</v>
      </c>
      <c r="D550">
        <v>64.3</v>
      </c>
      <c r="F550">
        <v>54</v>
      </c>
      <c r="G550" s="11"/>
      <c r="H550" t="s">
        <v>383</v>
      </c>
      <c r="I550" t="s">
        <v>383</v>
      </c>
      <c r="J550" t="s">
        <v>383</v>
      </c>
      <c r="M550" t="s">
        <v>1691</v>
      </c>
      <c r="N550" s="6" t="s">
        <v>2168</v>
      </c>
      <c r="O550">
        <v>0</v>
      </c>
      <c r="P550">
        <v>31</v>
      </c>
      <c r="Q550">
        <v>44</v>
      </c>
      <c r="R550">
        <v>0</v>
      </c>
      <c r="S550">
        <v>31</v>
      </c>
      <c r="T550" t="s">
        <v>1944</v>
      </c>
      <c r="U550" t="s">
        <v>2010</v>
      </c>
      <c r="V550" t="s">
        <v>2025</v>
      </c>
      <c r="W550" t="s">
        <v>2021</v>
      </c>
    </row>
    <row r="551" spans="1:24" x14ac:dyDescent="0.3">
      <c r="A551" t="s">
        <v>1627</v>
      </c>
      <c r="B551" t="s">
        <v>3849</v>
      </c>
      <c r="D551">
        <v>50.4</v>
      </c>
      <c r="F551">
        <v>49.5</v>
      </c>
      <c r="G551" s="11"/>
      <c r="H551" t="s">
        <v>383</v>
      </c>
      <c r="I551" t="s">
        <v>383</v>
      </c>
      <c r="J551" t="s">
        <v>383</v>
      </c>
      <c r="M551" t="s">
        <v>1691</v>
      </c>
      <c r="N551" s="6" t="s">
        <v>2168</v>
      </c>
      <c r="O551">
        <v>10</v>
      </c>
      <c r="P551">
        <v>38</v>
      </c>
      <c r="Q551">
        <v>3</v>
      </c>
      <c r="R551">
        <v>10</v>
      </c>
      <c r="S551">
        <v>38</v>
      </c>
      <c r="T551" t="s">
        <v>1945</v>
      </c>
      <c r="U551" t="s">
        <v>2009</v>
      </c>
      <c r="V551" t="s">
        <v>2024</v>
      </c>
      <c r="W551" t="s">
        <v>2016</v>
      </c>
      <c r="X551" t="s">
        <v>2039</v>
      </c>
    </row>
    <row r="552" spans="1:24" x14ac:dyDescent="0.3">
      <c r="A552" t="s">
        <v>1150</v>
      </c>
      <c r="B552" t="s">
        <v>247</v>
      </c>
      <c r="C552" t="s">
        <v>1717</v>
      </c>
      <c r="D552">
        <v>335.73</v>
      </c>
      <c r="E552">
        <v>23089</v>
      </c>
      <c r="F552">
        <v>39.99</v>
      </c>
      <c r="G552" s="11"/>
      <c r="H552" t="s">
        <v>383</v>
      </c>
      <c r="I552" t="s">
        <v>383</v>
      </c>
      <c r="J552" t="s">
        <v>383</v>
      </c>
      <c r="K552">
        <v>5</v>
      </c>
      <c r="L552">
        <v>25</v>
      </c>
      <c r="M552" t="s">
        <v>236</v>
      </c>
      <c r="N552" s="6" t="s">
        <v>2456</v>
      </c>
      <c r="R552">
        <v>5</v>
      </c>
      <c r="S552">
        <v>25</v>
      </c>
      <c r="T552" t="s">
        <v>392</v>
      </c>
      <c r="U552" t="s">
        <v>2009</v>
      </c>
      <c r="V552" t="s">
        <v>2024</v>
      </c>
      <c r="W552" t="s">
        <v>2015</v>
      </c>
      <c r="X552" t="s">
        <v>3046</v>
      </c>
    </row>
    <row r="553" spans="1:24" x14ac:dyDescent="0.3">
      <c r="A553" t="s">
        <v>1152</v>
      </c>
      <c r="B553" t="s">
        <v>1151</v>
      </c>
      <c r="D553">
        <f>AVERAGE(150.467,166.28)</f>
        <v>158.37350000000001</v>
      </c>
      <c r="E553">
        <f>AVERAGE(26323,28720)</f>
        <v>27521.5</v>
      </c>
      <c r="F553">
        <v>44.5</v>
      </c>
      <c r="G553" s="11"/>
      <c r="H553" t="s">
        <v>1746</v>
      </c>
      <c r="I553">
        <v>25533</v>
      </c>
      <c r="J553">
        <v>9799942</v>
      </c>
      <c r="K553">
        <v>1</v>
      </c>
      <c r="L553">
        <v>35</v>
      </c>
      <c r="M553" t="s">
        <v>227</v>
      </c>
      <c r="N553" s="6" t="s">
        <v>2174</v>
      </c>
      <c r="O553">
        <v>1</v>
      </c>
      <c r="P553">
        <v>35</v>
      </c>
      <c r="Q553">
        <v>34</v>
      </c>
      <c r="R553">
        <v>1</v>
      </c>
      <c r="S553">
        <v>35</v>
      </c>
      <c r="T553" t="s">
        <v>392</v>
      </c>
      <c r="U553" t="s">
        <v>2009</v>
      </c>
      <c r="V553" t="s">
        <v>2024</v>
      </c>
      <c r="W553" t="s">
        <v>2015</v>
      </c>
      <c r="X553" t="s">
        <v>3046</v>
      </c>
    </row>
    <row r="554" spans="1:24" x14ac:dyDescent="0.3">
      <c r="A554" t="s">
        <v>1153</v>
      </c>
      <c r="B554" t="s">
        <v>18</v>
      </c>
      <c r="D554">
        <f>AVERAGE(91.841,86.819,88.784,89.387,88.644)</f>
        <v>89.094999999999999</v>
      </c>
      <c r="E554">
        <f>AVERAGE(19772,18536,19164,18843,15979)</f>
        <v>18458.8</v>
      </c>
      <c r="F554">
        <v>43.5</v>
      </c>
      <c r="G554" s="11"/>
      <c r="H554" t="s">
        <v>1746</v>
      </c>
      <c r="I554">
        <v>15688</v>
      </c>
      <c r="J554">
        <v>6185352</v>
      </c>
      <c r="K554">
        <v>3</v>
      </c>
      <c r="L554">
        <v>29</v>
      </c>
      <c r="M554" t="s">
        <v>226</v>
      </c>
      <c r="N554" s="6" t="s">
        <v>2457</v>
      </c>
      <c r="O554">
        <v>1.75</v>
      </c>
      <c r="P554">
        <v>35</v>
      </c>
      <c r="Q554">
        <v>89</v>
      </c>
      <c r="R554">
        <v>1.75</v>
      </c>
      <c r="S554">
        <v>35</v>
      </c>
      <c r="T554" t="s">
        <v>392</v>
      </c>
      <c r="U554" t="s">
        <v>2009</v>
      </c>
      <c r="V554" t="s">
        <v>2024</v>
      </c>
      <c r="W554" t="s">
        <v>2015</v>
      </c>
      <c r="X554" t="s">
        <v>3046</v>
      </c>
    </row>
    <row r="555" spans="1:24" x14ac:dyDescent="0.3">
      <c r="A555" t="s">
        <v>1154</v>
      </c>
      <c r="B555" t="s">
        <v>248</v>
      </c>
      <c r="D555">
        <v>206.9</v>
      </c>
      <c r="E555">
        <v>25543</v>
      </c>
      <c r="F555">
        <v>41.5</v>
      </c>
      <c r="G555" s="8" t="s">
        <v>2142</v>
      </c>
      <c r="H555" t="s">
        <v>383</v>
      </c>
      <c r="I555" t="s">
        <v>383</v>
      </c>
      <c r="J555" t="s">
        <v>383</v>
      </c>
      <c r="K555">
        <v>3</v>
      </c>
      <c r="L555">
        <v>27</v>
      </c>
      <c r="M555" t="s">
        <v>226</v>
      </c>
      <c r="N555" s="6" t="s">
        <v>2458</v>
      </c>
      <c r="O555">
        <v>8</v>
      </c>
      <c r="P555">
        <v>30</v>
      </c>
      <c r="Q555">
        <v>12</v>
      </c>
      <c r="R555">
        <v>3</v>
      </c>
      <c r="S555">
        <v>30</v>
      </c>
      <c r="T555" t="s">
        <v>392</v>
      </c>
      <c r="U555" t="s">
        <v>2009</v>
      </c>
      <c r="V555" t="s">
        <v>2024</v>
      </c>
      <c r="W555" t="s">
        <v>2015</v>
      </c>
      <c r="X555" t="s">
        <v>3046</v>
      </c>
    </row>
    <row r="556" spans="1:24" x14ac:dyDescent="0.3">
      <c r="A556" t="s">
        <v>1157</v>
      </c>
      <c r="B556" t="s">
        <v>52</v>
      </c>
      <c r="D556">
        <f>AVERAGE(253.665,135.345)</f>
        <v>194.505</v>
      </c>
      <c r="E556">
        <f>AVERAGE(31930,15685)</f>
        <v>23807.5</v>
      </c>
      <c r="F556">
        <v>46.7</v>
      </c>
      <c r="G556" s="11"/>
      <c r="H556" t="s">
        <v>1746</v>
      </c>
      <c r="I556">
        <v>11497</v>
      </c>
      <c r="J556">
        <v>4617971</v>
      </c>
      <c r="K556">
        <v>10</v>
      </c>
      <c r="L556">
        <v>30</v>
      </c>
      <c r="M556" t="s">
        <v>227</v>
      </c>
      <c r="N556" s="6" t="s">
        <v>2459</v>
      </c>
      <c r="O556">
        <v>0</v>
      </c>
      <c r="P556">
        <v>31.5</v>
      </c>
      <c r="Q556">
        <v>35</v>
      </c>
      <c r="R556">
        <v>0</v>
      </c>
      <c r="S556">
        <v>31.5</v>
      </c>
      <c r="T556" t="s">
        <v>392</v>
      </c>
      <c r="U556" t="s">
        <v>2009</v>
      </c>
      <c r="V556" t="s">
        <v>2024</v>
      </c>
      <c r="W556" t="s">
        <v>2015</v>
      </c>
      <c r="X556" t="s">
        <v>3046</v>
      </c>
    </row>
    <row r="557" spans="1:24" x14ac:dyDescent="0.3">
      <c r="A557" t="s">
        <v>1155</v>
      </c>
      <c r="B557" t="s">
        <v>268</v>
      </c>
      <c r="D557">
        <v>99.6</v>
      </c>
      <c r="E557">
        <v>21087</v>
      </c>
      <c r="F557">
        <v>43.14</v>
      </c>
      <c r="G557" s="8" t="s">
        <v>2143</v>
      </c>
      <c r="H557" t="s">
        <v>1746</v>
      </c>
      <c r="I557">
        <v>21032</v>
      </c>
      <c r="J557">
        <v>7432697</v>
      </c>
      <c r="K557">
        <v>4</v>
      </c>
      <c r="L557">
        <v>25</v>
      </c>
      <c r="M557" t="s">
        <v>227</v>
      </c>
      <c r="N557" s="6" t="s">
        <v>2174</v>
      </c>
      <c r="O557">
        <v>4</v>
      </c>
      <c r="P557">
        <v>32</v>
      </c>
      <c r="Q557">
        <v>13</v>
      </c>
      <c r="R557">
        <v>4</v>
      </c>
      <c r="S557">
        <v>32</v>
      </c>
      <c r="T557" t="s">
        <v>392</v>
      </c>
      <c r="U557" t="s">
        <v>2009</v>
      </c>
      <c r="V557" t="s">
        <v>2024</v>
      </c>
      <c r="W557" t="s">
        <v>2015</v>
      </c>
      <c r="X557" t="s">
        <v>3046</v>
      </c>
    </row>
    <row r="558" spans="1:24" x14ac:dyDescent="0.3">
      <c r="A558" t="s">
        <v>1156</v>
      </c>
      <c r="B558" t="s">
        <v>49</v>
      </c>
      <c r="D558">
        <f>AVERAGE(156.834,64.782,117.311)</f>
        <v>112.97566666666667</v>
      </c>
      <c r="E558">
        <f>AVERAGE(30249,18021,20482)</f>
        <v>22917.333333333332</v>
      </c>
      <c r="F558">
        <v>44.4</v>
      </c>
      <c r="G558" s="11"/>
      <c r="H558" t="s">
        <v>1746</v>
      </c>
      <c r="I558">
        <v>14973</v>
      </c>
      <c r="J558">
        <v>6057031</v>
      </c>
      <c r="K558">
        <v>3</v>
      </c>
      <c r="L558">
        <v>32</v>
      </c>
      <c r="M558" t="s">
        <v>227</v>
      </c>
      <c r="N558" s="6" t="s">
        <v>2460</v>
      </c>
      <c r="O558">
        <v>0</v>
      </c>
      <c r="P558">
        <v>29</v>
      </c>
      <c r="Q558">
        <v>28</v>
      </c>
      <c r="R558">
        <v>0</v>
      </c>
      <c r="S558">
        <v>32</v>
      </c>
      <c r="T558" t="s">
        <v>392</v>
      </c>
      <c r="U558" t="s">
        <v>2009</v>
      </c>
      <c r="V558" t="s">
        <v>2024</v>
      </c>
      <c r="W558" t="s">
        <v>2015</v>
      </c>
      <c r="X558" t="s">
        <v>3046</v>
      </c>
    </row>
    <row r="559" spans="1:24" x14ac:dyDescent="0.3">
      <c r="A559" t="s">
        <v>1158</v>
      </c>
      <c r="B559" t="s">
        <v>85</v>
      </c>
      <c r="D559">
        <v>38.534999999999997</v>
      </c>
      <c r="E559">
        <v>11763</v>
      </c>
      <c r="F559">
        <v>58.481400000000001</v>
      </c>
      <c r="G559" s="11"/>
      <c r="H559" t="s">
        <v>1746</v>
      </c>
      <c r="I559">
        <v>11750</v>
      </c>
      <c r="J559">
        <v>5417339</v>
      </c>
      <c r="K559">
        <v>15</v>
      </c>
      <c r="L559">
        <v>33</v>
      </c>
      <c r="M559" t="s">
        <v>227</v>
      </c>
      <c r="N559" s="6" t="s">
        <v>2461</v>
      </c>
      <c r="R559">
        <v>15</v>
      </c>
      <c r="S559">
        <v>33</v>
      </c>
      <c r="T559" t="s">
        <v>658</v>
      </c>
      <c r="U559" t="s">
        <v>2009</v>
      </c>
      <c r="V559" t="s">
        <v>2024</v>
      </c>
      <c r="W559" t="s">
        <v>2016</v>
      </c>
      <c r="X559" t="s">
        <v>2039</v>
      </c>
    </row>
    <row r="560" spans="1:24" x14ac:dyDescent="0.3">
      <c r="A560" t="s">
        <v>1631</v>
      </c>
      <c r="B560" t="s">
        <v>3850</v>
      </c>
      <c r="D560">
        <v>32.6</v>
      </c>
      <c r="F560">
        <v>50.5</v>
      </c>
      <c r="G560" s="11"/>
      <c r="H560" t="s">
        <v>383</v>
      </c>
      <c r="I560" t="s">
        <v>383</v>
      </c>
      <c r="J560" t="s">
        <v>383</v>
      </c>
      <c r="M560" t="s">
        <v>1691</v>
      </c>
      <c r="N560" s="6" t="s">
        <v>2168</v>
      </c>
      <c r="O560">
        <v>4</v>
      </c>
      <c r="P560">
        <v>34</v>
      </c>
      <c r="Q560">
        <v>25</v>
      </c>
      <c r="R560">
        <v>4</v>
      </c>
      <c r="S560">
        <v>34</v>
      </c>
      <c r="T560" t="s">
        <v>1946</v>
      </c>
      <c r="U560" t="s">
        <v>2009</v>
      </c>
      <c r="V560" t="s">
        <v>2024</v>
      </c>
      <c r="W560" t="s">
        <v>2016</v>
      </c>
      <c r="X560" t="s">
        <v>2039</v>
      </c>
    </row>
    <row r="561" spans="1:24" x14ac:dyDescent="0.3">
      <c r="A561" t="s">
        <v>1381</v>
      </c>
      <c r="B561" t="s">
        <v>3851</v>
      </c>
      <c r="D561">
        <v>33.582999999999998</v>
      </c>
      <c r="E561">
        <v>11799</v>
      </c>
      <c r="F561">
        <v>46</v>
      </c>
      <c r="G561" s="11"/>
      <c r="H561" t="s">
        <v>1746</v>
      </c>
      <c r="I561">
        <v>11705</v>
      </c>
      <c r="J561">
        <v>5424802</v>
      </c>
      <c r="M561" t="s">
        <v>1691</v>
      </c>
      <c r="N561" s="6" t="s">
        <v>2168</v>
      </c>
      <c r="O561">
        <v>4</v>
      </c>
      <c r="P561">
        <v>33</v>
      </c>
      <c r="Q561">
        <v>11</v>
      </c>
      <c r="R561">
        <v>4</v>
      </c>
      <c r="S561">
        <v>33</v>
      </c>
      <c r="T561" t="s">
        <v>1946</v>
      </c>
      <c r="U561" t="s">
        <v>2009</v>
      </c>
      <c r="V561" t="s">
        <v>2024</v>
      </c>
      <c r="W561" t="s">
        <v>2016</v>
      </c>
      <c r="X561" t="s">
        <v>2039</v>
      </c>
    </row>
    <row r="562" spans="1:24" x14ac:dyDescent="0.3">
      <c r="A562" t="s">
        <v>1159</v>
      </c>
      <c r="B562" t="s">
        <v>67</v>
      </c>
      <c r="D562">
        <v>37.840000000000003</v>
      </c>
      <c r="E562">
        <v>12141</v>
      </c>
      <c r="F562">
        <v>50.8</v>
      </c>
      <c r="G562" s="11"/>
      <c r="H562" t="s">
        <v>1746</v>
      </c>
      <c r="I562">
        <v>12062</v>
      </c>
      <c r="J562">
        <v>5414714</v>
      </c>
      <c r="K562">
        <v>10</v>
      </c>
      <c r="L562">
        <v>31</v>
      </c>
      <c r="M562" t="s">
        <v>227</v>
      </c>
      <c r="N562" s="6" t="s">
        <v>2462</v>
      </c>
      <c r="O562">
        <v>7.5</v>
      </c>
      <c r="P562">
        <v>35</v>
      </c>
      <c r="Q562">
        <v>3</v>
      </c>
      <c r="R562">
        <v>7.5</v>
      </c>
      <c r="S562">
        <v>35</v>
      </c>
      <c r="T562" t="s">
        <v>1946</v>
      </c>
      <c r="U562" t="s">
        <v>2009</v>
      </c>
      <c r="V562" t="s">
        <v>2024</v>
      </c>
      <c r="W562" t="s">
        <v>2016</v>
      </c>
      <c r="X562" t="s">
        <v>2039</v>
      </c>
    </row>
    <row r="563" spans="1:24" x14ac:dyDescent="0.3">
      <c r="A563" t="s">
        <v>1160</v>
      </c>
      <c r="B563" t="s">
        <v>102</v>
      </c>
      <c r="D563">
        <v>40.491</v>
      </c>
      <c r="E563">
        <v>12836</v>
      </c>
      <c r="F563">
        <v>48.15</v>
      </c>
      <c r="G563" s="11"/>
      <c r="H563" t="s">
        <v>1746</v>
      </c>
      <c r="I563">
        <v>12446</v>
      </c>
      <c r="J563">
        <v>5705335</v>
      </c>
      <c r="K563">
        <v>16</v>
      </c>
      <c r="L563">
        <v>34</v>
      </c>
      <c r="M563" t="s">
        <v>226</v>
      </c>
      <c r="N563" s="6" t="s">
        <v>2463</v>
      </c>
      <c r="O563">
        <v>8.5</v>
      </c>
      <c r="P563">
        <v>37</v>
      </c>
      <c r="Q563">
        <v>6</v>
      </c>
      <c r="R563">
        <v>8.5</v>
      </c>
      <c r="S563">
        <v>37</v>
      </c>
      <c r="T563" t="s">
        <v>1947</v>
      </c>
      <c r="U563" t="s">
        <v>2009</v>
      </c>
      <c r="V563" t="s">
        <v>2024</v>
      </c>
      <c r="W563" t="s">
        <v>2016</v>
      </c>
      <c r="X563" t="s">
        <v>2039</v>
      </c>
    </row>
    <row r="564" spans="1:24" x14ac:dyDescent="0.3">
      <c r="A564" t="s">
        <v>1161</v>
      </c>
      <c r="B564" t="s">
        <v>142</v>
      </c>
      <c r="C564" t="s">
        <v>754</v>
      </c>
      <c r="D564">
        <f>AVERAGE(45.087,41.554,41.581,40.492)</f>
        <v>42.1785</v>
      </c>
      <c r="E564">
        <f>AVERAGE(13452,12270,12197,12836)</f>
        <v>12688.75</v>
      </c>
      <c r="F564">
        <v>50.977200000000003</v>
      </c>
      <c r="G564" s="11"/>
      <c r="H564" t="s">
        <v>1746</v>
      </c>
      <c r="I564">
        <v>12681</v>
      </c>
      <c r="J564">
        <v>5591092</v>
      </c>
      <c r="K564">
        <v>11</v>
      </c>
      <c r="L564">
        <v>34</v>
      </c>
      <c r="M564" t="s">
        <v>226</v>
      </c>
      <c r="N564" s="6" t="s">
        <v>2464</v>
      </c>
      <c r="O564">
        <v>8.5</v>
      </c>
      <c r="P564">
        <v>39</v>
      </c>
      <c r="Q564">
        <v>69</v>
      </c>
      <c r="R564">
        <v>8.5</v>
      </c>
      <c r="S564">
        <v>39</v>
      </c>
      <c r="T564" t="s">
        <v>1947</v>
      </c>
      <c r="U564" t="s">
        <v>2009</v>
      </c>
      <c r="V564" t="s">
        <v>2024</v>
      </c>
      <c r="W564" t="s">
        <v>2016</v>
      </c>
      <c r="X564" t="s">
        <v>2039</v>
      </c>
    </row>
    <row r="565" spans="1:24" x14ac:dyDescent="0.3">
      <c r="A565" t="s">
        <v>1634</v>
      </c>
      <c r="B565" t="s">
        <v>3852</v>
      </c>
      <c r="D565">
        <v>35.9</v>
      </c>
      <c r="E565">
        <v>12305</v>
      </c>
      <c r="F565">
        <v>54</v>
      </c>
      <c r="G565" s="8" t="s">
        <v>2144</v>
      </c>
      <c r="H565" t="s">
        <v>383</v>
      </c>
      <c r="I565" t="s">
        <v>383</v>
      </c>
      <c r="J565" t="s">
        <v>383</v>
      </c>
      <c r="M565" t="s">
        <v>1691</v>
      </c>
      <c r="N565" s="6" t="s">
        <v>2168</v>
      </c>
      <c r="O565">
        <v>5</v>
      </c>
      <c r="P565">
        <v>45</v>
      </c>
      <c r="Q565">
        <v>26</v>
      </c>
      <c r="R565">
        <v>5</v>
      </c>
      <c r="S565">
        <v>45</v>
      </c>
      <c r="T565" t="s">
        <v>1948</v>
      </c>
      <c r="U565" t="s">
        <v>2010</v>
      </c>
      <c r="V565" t="s">
        <v>2025</v>
      </c>
      <c r="W565" t="s">
        <v>2020</v>
      </c>
    </row>
    <row r="566" spans="1:24" x14ac:dyDescent="0.3">
      <c r="A566" t="s">
        <v>1636</v>
      </c>
      <c r="B566" t="s">
        <v>3853</v>
      </c>
      <c r="D566">
        <v>44.7</v>
      </c>
      <c r="E566">
        <v>13805</v>
      </c>
      <c r="F566">
        <v>57</v>
      </c>
      <c r="G566" s="8" t="s">
        <v>2144</v>
      </c>
      <c r="H566" t="s">
        <v>383</v>
      </c>
      <c r="I566" t="s">
        <v>383</v>
      </c>
      <c r="J566" t="s">
        <v>383</v>
      </c>
      <c r="M566" t="s">
        <v>1691</v>
      </c>
      <c r="N566" s="6" t="s">
        <v>2168</v>
      </c>
      <c r="O566">
        <v>4</v>
      </c>
      <c r="P566">
        <v>42</v>
      </c>
      <c r="Q566">
        <v>9</v>
      </c>
      <c r="R566">
        <v>4</v>
      </c>
      <c r="S566">
        <v>42</v>
      </c>
      <c r="T566" t="s">
        <v>1948</v>
      </c>
      <c r="U566" t="s">
        <v>2010</v>
      </c>
      <c r="V566" t="s">
        <v>2025</v>
      </c>
      <c r="W566" t="s">
        <v>2020</v>
      </c>
    </row>
    <row r="567" spans="1:24" x14ac:dyDescent="0.3">
      <c r="A567" t="s">
        <v>1638</v>
      </c>
      <c r="B567" t="s">
        <v>3854</v>
      </c>
      <c r="D567">
        <v>39.1</v>
      </c>
      <c r="E567">
        <v>15511</v>
      </c>
      <c r="F567">
        <v>53</v>
      </c>
      <c r="G567" s="8" t="s">
        <v>2145</v>
      </c>
      <c r="H567" t="s">
        <v>383</v>
      </c>
      <c r="I567" t="s">
        <v>383</v>
      </c>
      <c r="J567" t="s">
        <v>383</v>
      </c>
      <c r="M567" t="s">
        <v>1691</v>
      </c>
      <c r="N567" s="6" t="s">
        <v>2168</v>
      </c>
      <c r="O567">
        <v>7</v>
      </c>
      <c r="P567">
        <v>35</v>
      </c>
      <c r="Q567">
        <v>6</v>
      </c>
      <c r="R567">
        <v>7</v>
      </c>
      <c r="S567">
        <v>35</v>
      </c>
      <c r="T567" t="s">
        <v>1948</v>
      </c>
      <c r="U567" t="s">
        <v>2010</v>
      </c>
      <c r="V567" t="s">
        <v>2025</v>
      </c>
      <c r="W567" t="s">
        <v>2020</v>
      </c>
    </row>
    <row r="568" spans="1:24" x14ac:dyDescent="0.3">
      <c r="A568" t="s">
        <v>1640</v>
      </c>
      <c r="B568" t="s">
        <v>3855</v>
      </c>
      <c r="D568">
        <v>44.417000000000002</v>
      </c>
      <c r="E568">
        <v>15785</v>
      </c>
      <c r="F568">
        <v>56.09</v>
      </c>
      <c r="G568" s="11"/>
      <c r="H568" t="s">
        <v>383</v>
      </c>
      <c r="I568" t="s">
        <v>383</v>
      </c>
      <c r="J568" t="s">
        <v>383</v>
      </c>
      <c r="M568" t="s">
        <v>1691</v>
      </c>
      <c r="N568" s="6" t="s">
        <v>2168</v>
      </c>
      <c r="O568">
        <v>8</v>
      </c>
      <c r="P568">
        <v>38.5</v>
      </c>
      <c r="Q568">
        <v>3</v>
      </c>
      <c r="R568">
        <v>8</v>
      </c>
      <c r="S568">
        <v>38.5</v>
      </c>
      <c r="T568" t="s">
        <v>1948</v>
      </c>
      <c r="U568" t="s">
        <v>2010</v>
      </c>
      <c r="V568" t="s">
        <v>2025</v>
      </c>
      <c r="W568" t="s">
        <v>2020</v>
      </c>
    </row>
    <row r="569" spans="1:24" x14ac:dyDescent="0.3">
      <c r="A569" t="s">
        <v>1162</v>
      </c>
      <c r="B569" t="s">
        <v>181</v>
      </c>
      <c r="D569">
        <v>29.32</v>
      </c>
      <c r="E569">
        <v>9937</v>
      </c>
      <c r="F569">
        <v>49.543999999999997</v>
      </c>
      <c r="G569" s="11"/>
      <c r="H569" t="s">
        <v>340</v>
      </c>
      <c r="I569">
        <v>9924</v>
      </c>
      <c r="J569">
        <v>4477765</v>
      </c>
      <c r="K569">
        <v>19</v>
      </c>
      <c r="L569">
        <v>50</v>
      </c>
      <c r="M569" t="s">
        <v>227</v>
      </c>
      <c r="N569" s="6" t="s">
        <v>2465</v>
      </c>
      <c r="R569">
        <v>19</v>
      </c>
      <c r="S569">
        <v>50</v>
      </c>
      <c r="T569" t="s">
        <v>1949</v>
      </c>
      <c r="U569" t="s">
        <v>2009</v>
      </c>
      <c r="V569" t="s">
        <v>2024</v>
      </c>
      <c r="W569" t="s">
        <v>2016</v>
      </c>
      <c r="X569" t="s">
        <v>2039</v>
      </c>
    </row>
    <row r="570" spans="1:24" x14ac:dyDescent="0.3">
      <c r="A570" t="s">
        <v>1163</v>
      </c>
      <c r="B570" t="s">
        <v>2</v>
      </c>
      <c r="D570">
        <v>28.733000000000001</v>
      </c>
      <c r="E570">
        <v>10481</v>
      </c>
      <c r="F570">
        <v>50.48</v>
      </c>
      <c r="G570" s="11"/>
      <c r="H570" t="s">
        <v>1746</v>
      </c>
      <c r="I570">
        <v>9842</v>
      </c>
      <c r="J570">
        <v>4794008</v>
      </c>
      <c r="K570">
        <v>38</v>
      </c>
      <c r="L570">
        <v>60</v>
      </c>
      <c r="M570" t="s">
        <v>226</v>
      </c>
      <c r="N570" s="6" t="s">
        <v>2177</v>
      </c>
      <c r="R570">
        <v>38</v>
      </c>
      <c r="S570">
        <v>60</v>
      </c>
      <c r="T570" t="s">
        <v>1949</v>
      </c>
      <c r="U570" t="s">
        <v>2009</v>
      </c>
      <c r="V570" t="s">
        <v>2024</v>
      </c>
      <c r="W570" t="s">
        <v>2016</v>
      </c>
      <c r="X570" t="s">
        <v>2039</v>
      </c>
    </row>
    <row r="571" spans="1:24" x14ac:dyDescent="0.3">
      <c r="A571" t="s">
        <v>1642</v>
      </c>
      <c r="B571" t="s">
        <v>3856</v>
      </c>
      <c r="C571" t="s">
        <v>1752</v>
      </c>
      <c r="D571">
        <v>37.094999999999999</v>
      </c>
      <c r="E571">
        <v>11433</v>
      </c>
      <c r="F571">
        <v>53</v>
      </c>
      <c r="G571" s="11"/>
      <c r="H571" t="s">
        <v>383</v>
      </c>
      <c r="I571" t="s">
        <v>383</v>
      </c>
      <c r="J571" t="s">
        <v>383</v>
      </c>
      <c r="M571" t="s">
        <v>1691</v>
      </c>
      <c r="N571" s="6" t="s">
        <v>2168</v>
      </c>
      <c r="O571">
        <v>0</v>
      </c>
      <c r="P571">
        <v>37</v>
      </c>
      <c r="Q571">
        <v>7</v>
      </c>
      <c r="R571">
        <v>0</v>
      </c>
      <c r="S571">
        <v>37</v>
      </c>
      <c r="T571" t="s">
        <v>1950</v>
      </c>
      <c r="U571" t="s">
        <v>2009</v>
      </c>
      <c r="V571" t="s">
        <v>2024</v>
      </c>
      <c r="W571" t="s">
        <v>2016</v>
      </c>
      <c r="X571" t="s">
        <v>2039</v>
      </c>
    </row>
    <row r="572" spans="1:24" x14ac:dyDescent="0.3">
      <c r="A572" t="s">
        <v>1308</v>
      </c>
      <c r="B572" t="s">
        <v>821</v>
      </c>
      <c r="D572">
        <v>27.1</v>
      </c>
      <c r="E572">
        <v>10983</v>
      </c>
      <c r="F572">
        <v>53</v>
      </c>
      <c r="G572" s="11"/>
      <c r="H572" t="s">
        <v>340</v>
      </c>
      <c r="I572">
        <v>10917</v>
      </c>
      <c r="J572">
        <v>5292222</v>
      </c>
      <c r="K572">
        <v>-5</v>
      </c>
      <c r="L572">
        <v>22</v>
      </c>
      <c r="M572" t="s">
        <v>226</v>
      </c>
      <c r="N572" s="6" t="s">
        <v>2466</v>
      </c>
      <c r="R572">
        <v>-5</v>
      </c>
      <c r="S572">
        <v>22</v>
      </c>
      <c r="T572" t="s">
        <v>1951</v>
      </c>
      <c r="U572" t="s">
        <v>2009</v>
      </c>
      <c r="V572" t="s">
        <v>2024</v>
      </c>
      <c r="W572" t="s">
        <v>2016</v>
      </c>
      <c r="X572" t="s">
        <v>2039</v>
      </c>
    </row>
    <row r="573" spans="1:24" x14ac:dyDescent="0.3">
      <c r="A573" t="s">
        <v>1164</v>
      </c>
      <c r="B573" t="s">
        <v>86</v>
      </c>
      <c r="D573">
        <v>32.473999999999997</v>
      </c>
      <c r="E573">
        <v>11382</v>
      </c>
      <c r="F573">
        <v>50.35</v>
      </c>
      <c r="G573" s="11"/>
      <c r="H573" t="s">
        <v>1746</v>
      </c>
      <c r="I573">
        <v>11378</v>
      </c>
      <c r="J573">
        <v>5555827</v>
      </c>
      <c r="K573">
        <v>9</v>
      </c>
      <c r="L573">
        <v>42</v>
      </c>
      <c r="M573" t="s">
        <v>227</v>
      </c>
      <c r="N573" s="6" t="s">
        <v>2467</v>
      </c>
      <c r="R573">
        <v>9</v>
      </c>
      <c r="S573">
        <v>42</v>
      </c>
      <c r="T573" t="s">
        <v>1952</v>
      </c>
      <c r="U573" t="s">
        <v>2009</v>
      </c>
      <c r="V573" t="s">
        <v>2024</v>
      </c>
      <c r="W573" t="s">
        <v>2016</v>
      </c>
      <c r="X573" t="s">
        <v>2039</v>
      </c>
    </row>
    <row r="574" spans="1:24" x14ac:dyDescent="0.3">
      <c r="A574" t="s">
        <v>1644</v>
      </c>
      <c r="B574" t="s">
        <v>3857</v>
      </c>
      <c r="C574" t="s">
        <v>1718</v>
      </c>
      <c r="D574">
        <v>48.8</v>
      </c>
      <c r="F574">
        <v>49</v>
      </c>
      <c r="G574" s="11"/>
      <c r="H574" t="s">
        <v>383</v>
      </c>
      <c r="I574" t="s">
        <v>383</v>
      </c>
      <c r="J574" t="s">
        <v>383</v>
      </c>
      <c r="M574" t="s">
        <v>1691</v>
      </c>
      <c r="N574" s="6" t="s">
        <v>2168</v>
      </c>
      <c r="O574">
        <v>10</v>
      </c>
      <c r="P574">
        <v>41</v>
      </c>
      <c r="Q574">
        <v>6</v>
      </c>
      <c r="R574">
        <v>10</v>
      </c>
      <c r="S574">
        <v>41</v>
      </c>
      <c r="T574" t="s">
        <v>1953</v>
      </c>
      <c r="U574" t="s">
        <v>2009</v>
      </c>
      <c r="V574" t="s">
        <v>2024</v>
      </c>
      <c r="W574" t="s">
        <v>2015</v>
      </c>
      <c r="X574" t="s">
        <v>3039</v>
      </c>
    </row>
    <row r="575" spans="1:24" x14ac:dyDescent="0.3">
      <c r="A575" t="s">
        <v>1165</v>
      </c>
      <c r="B575" t="s">
        <v>114</v>
      </c>
      <c r="D575">
        <f>AVERAGE(39.822,51.706,47.659)</f>
        <v>46.395666666666671</v>
      </c>
      <c r="E575">
        <f>AVERAGE(13951,12726,15157)</f>
        <v>13944.666666666666</v>
      </c>
      <c r="F575">
        <v>48</v>
      </c>
      <c r="G575" s="11"/>
      <c r="H575" t="s">
        <v>1746</v>
      </c>
      <c r="I575">
        <v>11878</v>
      </c>
      <c r="J575">
        <v>6275154</v>
      </c>
      <c r="K575">
        <v>8</v>
      </c>
      <c r="L575">
        <v>39</v>
      </c>
      <c r="M575" t="s">
        <v>226</v>
      </c>
      <c r="N575" s="6" t="s">
        <v>2468</v>
      </c>
      <c r="R575">
        <v>8</v>
      </c>
      <c r="S575">
        <v>39</v>
      </c>
      <c r="T575" t="s">
        <v>1954</v>
      </c>
      <c r="U575" t="s">
        <v>2009</v>
      </c>
      <c r="V575" t="s">
        <v>2024</v>
      </c>
      <c r="W575" t="s">
        <v>2015</v>
      </c>
      <c r="X575" t="s">
        <v>3039</v>
      </c>
    </row>
    <row r="576" spans="1:24" s="7" customFormat="1" x14ac:dyDescent="0.3">
      <c r="A576" s="7" t="s">
        <v>1167</v>
      </c>
      <c r="B576" s="7" t="s">
        <v>4</v>
      </c>
      <c r="C576" s="7" t="s">
        <v>581</v>
      </c>
      <c r="D576" s="7">
        <v>27.6</v>
      </c>
      <c r="E576" s="18">
        <v>10345</v>
      </c>
      <c r="F576" s="7">
        <v>44.3</v>
      </c>
      <c r="G576" s="11"/>
      <c r="H576" t="s">
        <v>383</v>
      </c>
      <c r="I576" t="s">
        <v>383</v>
      </c>
      <c r="J576" t="s">
        <v>383</v>
      </c>
      <c r="K576" s="7">
        <v>25</v>
      </c>
      <c r="L576" s="7">
        <v>55</v>
      </c>
      <c r="M576" s="7" t="s">
        <v>227</v>
      </c>
      <c r="N576" s="6" t="s">
        <v>2469</v>
      </c>
      <c r="R576">
        <v>25</v>
      </c>
      <c r="S576">
        <v>55</v>
      </c>
      <c r="T576" t="s">
        <v>1955</v>
      </c>
      <c r="U576" t="s">
        <v>2009</v>
      </c>
      <c r="V576" t="s">
        <v>2023</v>
      </c>
      <c r="W576" t="s">
        <v>2014</v>
      </c>
      <c r="X576" t="s">
        <v>3037</v>
      </c>
    </row>
    <row r="577" spans="1:24" x14ac:dyDescent="0.3">
      <c r="A577" t="s">
        <v>1168</v>
      </c>
      <c r="B577" t="s">
        <v>272</v>
      </c>
      <c r="D577">
        <v>25.385000000000002</v>
      </c>
      <c r="E577">
        <v>10988</v>
      </c>
      <c r="F577">
        <v>44.94</v>
      </c>
      <c r="G577" s="11"/>
      <c r="H577" t="s">
        <v>340</v>
      </c>
      <c r="I577">
        <v>10986</v>
      </c>
      <c r="J577">
        <v>4678383</v>
      </c>
      <c r="K577">
        <v>25</v>
      </c>
      <c r="L577">
        <v>52</v>
      </c>
      <c r="M577" t="s">
        <v>226</v>
      </c>
      <c r="N577" s="6" t="s">
        <v>2470</v>
      </c>
      <c r="O577">
        <v>18</v>
      </c>
      <c r="P577">
        <v>49</v>
      </c>
      <c r="Q577">
        <v>13</v>
      </c>
      <c r="R577">
        <v>18</v>
      </c>
      <c r="S577">
        <v>52</v>
      </c>
      <c r="T577" t="s">
        <v>1955</v>
      </c>
      <c r="U577" t="s">
        <v>2009</v>
      </c>
      <c r="V577" t="s">
        <v>2023</v>
      </c>
      <c r="W577" t="s">
        <v>2014</v>
      </c>
      <c r="X577" t="s">
        <v>3037</v>
      </c>
    </row>
    <row r="578" spans="1:24" x14ac:dyDescent="0.3">
      <c r="A578" t="s">
        <v>1169</v>
      </c>
      <c r="B578" t="s">
        <v>398</v>
      </c>
      <c r="D578">
        <v>46.846699999999998</v>
      </c>
      <c r="E578">
        <v>12015</v>
      </c>
      <c r="F578">
        <v>49</v>
      </c>
      <c r="G578" s="11"/>
      <c r="H578" t="s">
        <v>340</v>
      </c>
      <c r="I578">
        <v>12571</v>
      </c>
      <c r="J578">
        <v>5788124</v>
      </c>
      <c r="K578">
        <v>15</v>
      </c>
      <c r="L578">
        <v>35</v>
      </c>
      <c r="M578" t="s">
        <v>227</v>
      </c>
      <c r="N578" s="6" t="s">
        <v>2471</v>
      </c>
      <c r="R578">
        <v>15</v>
      </c>
      <c r="S578">
        <v>35</v>
      </c>
      <c r="T578" t="s">
        <v>1956</v>
      </c>
      <c r="U578" t="s">
        <v>2009</v>
      </c>
      <c r="V578" t="s">
        <v>2023</v>
      </c>
      <c r="W578" t="s">
        <v>2022</v>
      </c>
      <c r="X578" t="s">
        <v>3037</v>
      </c>
    </row>
    <row r="579" spans="1:24" x14ac:dyDescent="0.3">
      <c r="A579" t="s">
        <v>1170</v>
      </c>
      <c r="B579" t="s">
        <v>423</v>
      </c>
      <c r="D579">
        <v>37.675400000000003</v>
      </c>
      <c r="F579">
        <v>47.7</v>
      </c>
      <c r="G579" s="11"/>
      <c r="H579" t="s">
        <v>383</v>
      </c>
      <c r="I579" t="s">
        <v>383</v>
      </c>
      <c r="J579" t="s">
        <v>383</v>
      </c>
      <c r="K579">
        <v>8</v>
      </c>
      <c r="L579">
        <v>34</v>
      </c>
      <c r="M579" t="s">
        <v>226</v>
      </c>
      <c r="N579" s="6" t="s">
        <v>2176</v>
      </c>
      <c r="R579">
        <v>8</v>
      </c>
      <c r="S579">
        <v>34</v>
      </c>
      <c r="T579" t="s">
        <v>659</v>
      </c>
      <c r="U579" t="s">
        <v>2009</v>
      </c>
      <c r="V579" t="s">
        <v>2024</v>
      </c>
      <c r="W579" t="s">
        <v>2015</v>
      </c>
      <c r="X579" t="s">
        <v>3039</v>
      </c>
    </row>
    <row r="580" spans="1:24" x14ac:dyDescent="0.3">
      <c r="A580" t="s">
        <v>1171</v>
      </c>
      <c r="B580" t="s">
        <v>426</v>
      </c>
      <c r="C580" t="s">
        <v>352</v>
      </c>
      <c r="D580">
        <v>46.087000000000003</v>
      </c>
      <c r="E580">
        <v>17467</v>
      </c>
      <c r="F580">
        <v>35.6</v>
      </c>
      <c r="G580" s="11"/>
      <c r="H580" t="s">
        <v>1746</v>
      </c>
      <c r="I580">
        <v>15531</v>
      </c>
      <c r="J580">
        <v>5891907</v>
      </c>
      <c r="K580">
        <v>4</v>
      </c>
      <c r="L580">
        <v>42</v>
      </c>
      <c r="M580" t="s">
        <v>227</v>
      </c>
      <c r="N580" s="6" t="s">
        <v>2472</v>
      </c>
      <c r="O580">
        <v>1.5</v>
      </c>
      <c r="P580">
        <v>48</v>
      </c>
      <c r="Q580">
        <v>318</v>
      </c>
      <c r="R580">
        <v>1.5</v>
      </c>
      <c r="S580">
        <v>48</v>
      </c>
      <c r="T580" t="s">
        <v>660</v>
      </c>
      <c r="U580" t="s">
        <v>2009</v>
      </c>
      <c r="V580" t="s">
        <v>2023</v>
      </c>
      <c r="W580" t="s">
        <v>2014</v>
      </c>
      <c r="X580" t="s">
        <v>3037</v>
      </c>
    </row>
    <row r="581" spans="1:24" x14ac:dyDescent="0.3">
      <c r="A581" t="s">
        <v>1382</v>
      </c>
      <c r="B581" t="s">
        <v>726</v>
      </c>
      <c r="C581" t="s">
        <v>807</v>
      </c>
      <c r="D581">
        <f>AVERAGE(48.84,45.7)</f>
        <v>47.27</v>
      </c>
      <c r="E581">
        <f>AVERAGE(18545,17217)</f>
        <v>17881</v>
      </c>
      <c r="F581">
        <f>AVERAGE(37.2,36.9)</f>
        <v>37.049999999999997</v>
      </c>
      <c r="G581" s="8" t="s">
        <v>2060</v>
      </c>
      <c r="H581" t="s">
        <v>1746</v>
      </c>
      <c r="I581">
        <v>11322</v>
      </c>
      <c r="J581">
        <v>4154363</v>
      </c>
      <c r="K581">
        <v>17</v>
      </c>
      <c r="L581">
        <v>58</v>
      </c>
      <c r="M581" t="s">
        <v>226</v>
      </c>
      <c r="N581" s="6" t="s">
        <v>2473</v>
      </c>
      <c r="O581">
        <v>1.5</v>
      </c>
      <c r="P581">
        <v>52</v>
      </c>
      <c r="Q581">
        <v>38</v>
      </c>
      <c r="R581">
        <v>1.5</v>
      </c>
      <c r="S581">
        <v>58</v>
      </c>
      <c r="T581" t="s">
        <v>660</v>
      </c>
      <c r="U581" t="s">
        <v>2009</v>
      </c>
      <c r="V581" t="s">
        <v>2023</v>
      </c>
      <c r="W581" t="s">
        <v>2014</v>
      </c>
      <c r="X581" t="s">
        <v>3037</v>
      </c>
    </row>
    <row r="582" spans="1:24" x14ac:dyDescent="0.3">
      <c r="A582" t="s">
        <v>1172</v>
      </c>
      <c r="B582" t="s">
        <v>202</v>
      </c>
      <c r="C582" t="s">
        <v>266</v>
      </c>
      <c r="D582">
        <v>38</v>
      </c>
      <c r="E582">
        <v>13951</v>
      </c>
      <c r="F582">
        <v>36.200000000000003</v>
      </c>
      <c r="G582" s="11"/>
      <c r="H582" t="s">
        <v>1746</v>
      </c>
      <c r="I582">
        <v>13951</v>
      </c>
      <c r="J582">
        <v>5779670</v>
      </c>
      <c r="K582">
        <v>4</v>
      </c>
      <c r="L582">
        <v>32</v>
      </c>
      <c r="M582" t="s">
        <v>228</v>
      </c>
      <c r="N582" s="6" t="s">
        <v>2171</v>
      </c>
      <c r="O582">
        <v>1</v>
      </c>
      <c r="P582">
        <v>41</v>
      </c>
      <c r="Q582">
        <v>208</v>
      </c>
      <c r="R582">
        <v>1</v>
      </c>
      <c r="S582">
        <v>41</v>
      </c>
      <c r="T582" t="s">
        <v>660</v>
      </c>
      <c r="U582" t="s">
        <v>2009</v>
      </c>
      <c r="V582" t="s">
        <v>2023</v>
      </c>
      <c r="W582" t="s">
        <v>2014</v>
      </c>
      <c r="X582" t="s">
        <v>3037</v>
      </c>
    </row>
    <row r="583" spans="1:24" x14ac:dyDescent="0.3">
      <c r="A583" t="s">
        <v>1095</v>
      </c>
      <c r="B583" t="s">
        <v>405</v>
      </c>
      <c r="C583" t="s">
        <v>64</v>
      </c>
      <c r="D583">
        <v>42.4529</v>
      </c>
      <c r="E583">
        <v>12541</v>
      </c>
      <c r="F583">
        <v>53.5</v>
      </c>
      <c r="G583" s="11"/>
      <c r="H583" t="s">
        <v>1746</v>
      </c>
      <c r="I583">
        <v>8983</v>
      </c>
      <c r="J583">
        <v>3900308</v>
      </c>
      <c r="K583">
        <v>3</v>
      </c>
      <c r="L583">
        <v>35</v>
      </c>
      <c r="M583" t="s">
        <v>227</v>
      </c>
      <c r="N583" s="6" t="s">
        <v>2289</v>
      </c>
      <c r="R583">
        <v>3</v>
      </c>
      <c r="S583">
        <v>35</v>
      </c>
      <c r="T583" t="s">
        <v>1957</v>
      </c>
      <c r="U583" t="s">
        <v>2009</v>
      </c>
      <c r="V583" t="s">
        <v>2024</v>
      </c>
      <c r="W583" t="s">
        <v>2015</v>
      </c>
      <c r="X583" t="s">
        <v>3039</v>
      </c>
    </row>
    <row r="584" spans="1:24" x14ac:dyDescent="0.3">
      <c r="A584" t="s">
        <v>1744</v>
      </c>
      <c r="B584" t="s">
        <v>1733</v>
      </c>
      <c r="C584" t="s">
        <v>1734</v>
      </c>
      <c r="D584">
        <v>19.39</v>
      </c>
      <c r="E584">
        <v>6790</v>
      </c>
      <c r="F584">
        <v>61</v>
      </c>
      <c r="G584" s="11"/>
      <c r="H584" t="s">
        <v>383</v>
      </c>
      <c r="I584" t="s">
        <v>383</v>
      </c>
      <c r="J584" t="s">
        <v>383</v>
      </c>
      <c r="K584">
        <v>0</v>
      </c>
      <c r="L584">
        <v>37</v>
      </c>
      <c r="M584" t="s">
        <v>236</v>
      </c>
      <c r="N584" s="6" t="s">
        <v>2474</v>
      </c>
      <c r="R584">
        <v>0</v>
      </c>
      <c r="S584">
        <v>37</v>
      </c>
      <c r="T584" t="s">
        <v>393</v>
      </c>
      <c r="U584" t="s">
        <v>2009</v>
      </c>
      <c r="V584" t="s">
        <v>2024</v>
      </c>
      <c r="W584" t="s">
        <v>2015</v>
      </c>
      <c r="X584" t="s">
        <v>3047</v>
      </c>
    </row>
    <row r="585" spans="1:24" x14ac:dyDescent="0.3">
      <c r="A585" t="s">
        <v>1174</v>
      </c>
      <c r="B585" t="s">
        <v>355</v>
      </c>
      <c r="D585">
        <v>20.088000000000001</v>
      </c>
      <c r="E585">
        <v>8277</v>
      </c>
      <c r="F585">
        <v>67.650000000000006</v>
      </c>
      <c r="G585" s="11"/>
      <c r="H585" t="s">
        <v>3707</v>
      </c>
      <c r="I585">
        <v>8277</v>
      </c>
      <c r="J585">
        <v>4153620</v>
      </c>
      <c r="K585">
        <v>0</v>
      </c>
      <c r="L585">
        <v>33</v>
      </c>
      <c r="M585" t="s">
        <v>226</v>
      </c>
      <c r="N585" s="6" t="s">
        <v>2475</v>
      </c>
      <c r="Q585" t="s">
        <v>419</v>
      </c>
      <c r="R585">
        <v>0</v>
      </c>
      <c r="S585">
        <v>33</v>
      </c>
      <c r="T585" t="s">
        <v>393</v>
      </c>
      <c r="U585" t="s">
        <v>2009</v>
      </c>
      <c r="V585" t="s">
        <v>2024</v>
      </c>
      <c r="W585" t="s">
        <v>2015</v>
      </c>
      <c r="X585" t="s">
        <v>3047</v>
      </c>
    </row>
    <row r="586" spans="1:24" x14ac:dyDescent="0.3">
      <c r="A586" t="s">
        <v>1175</v>
      </c>
      <c r="B586" t="s">
        <v>130</v>
      </c>
      <c r="D586">
        <v>21.013999999999999</v>
      </c>
      <c r="E586">
        <v>7283</v>
      </c>
      <c r="F586">
        <v>67.5</v>
      </c>
      <c r="G586" s="11"/>
      <c r="H586" t="s">
        <v>1746</v>
      </c>
      <c r="I586">
        <v>7225</v>
      </c>
      <c r="J586">
        <v>3635185</v>
      </c>
      <c r="K586">
        <v>21</v>
      </c>
      <c r="L586">
        <v>36</v>
      </c>
      <c r="M586" t="s">
        <v>226</v>
      </c>
      <c r="N586" s="6" t="s">
        <v>2476</v>
      </c>
      <c r="R586">
        <v>21</v>
      </c>
      <c r="S586">
        <v>36</v>
      </c>
      <c r="T586" t="s">
        <v>393</v>
      </c>
      <c r="U586" t="s">
        <v>2009</v>
      </c>
      <c r="V586" t="s">
        <v>2024</v>
      </c>
      <c r="W586" t="s">
        <v>2015</v>
      </c>
      <c r="X586" t="s">
        <v>3047</v>
      </c>
    </row>
    <row r="587" spans="1:24" ht="15" customHeight="1" x14ac:dyDescent="0.3">
      <c r="A587" t="s">
        <v>1177</v>
      </c>
      <c r="B587" t="s">
        <v>356</v>
      </c>
      <c r="D587">
        <f>AVERAGE(19.874,20.112)</f>
        <v>19.992999999999999</v>
      </c>
      <c r="E587">
        <f>AVERAGE(7810,7934)</f>
        <v>7872</v>
      </c>
      <c r="F587">
        <v>62</v>
      </c>
      <c r="G587" s="11"/>
      <c r="H587" t="s">
        <v>3707</v>
      </c>
      <c r="I587">
        <v>7934</v>
      </c>
      <c r="J587">
        <v>3913842</v>
      </c>
      <c r="K587">
        <v>4</v>
      </c>
      <c r="L587">
        <v>36</v>
      </c>
      <c r="M587" t="s">
        <v>226</v>
      </c>
      <c r="N587" s="6" t="s">
        <v>2477</v>
      </c>
      <c r="Q587" t="s">
        <v>805</v>
      </c>
      <c r="R587">
        <v>4</v>
      </c>
      <c r="S587">
        <v>36</v>
      </c>
      <c r="T587" t="s">
        <v>393</v>
      </c>
      <c r="U587" t="s">
        <v>2009</v>
      </c>
      <c r="V587" t="s">
        <v>2024</v>
      </c>
      <c r="W587" t="s">
        <v>2015</v>
      </c>
      <c r="X587" t="s">
        <v>3047</v>
      </c>
    </row>
    <row r="588" spans="1:24" x14ac:dyDescent="0.3">
      <c r="A588" t="s">
        <v>1383</v>
      </c>
      <c r="B588" t="s">
        <v>727</v>
      </c>
      <c r="D588">
        <f>AVERAGE(20.683,20.209,21.148,19.223,20.452)</f>
        <v>20.342999999999996</v>
      </c>
      <c r="E588">
        <f>AVERAGE(8490,8226,8165,8140,7479)</f>
        <v>8100</v>
      </c>
      <c r="F588">
        <v>61.76</v>
      </c>
      <c r="G588" s="11"/>
      <c r="H588" t="s">
        <v>1746</v>
      </c>
      <c r="I588">
        <v>2816</v>
      </c>
      <c r="J588">
        <v>1800369</v>
      </c>
      <c r="K588">
        <v>10</v>
      </c>
      <c r="L588">
        <v>30</v>
      </c>
      <c r="M588" t="s">
        <v>227</v>
      </c>
      <c r="N588" s="6" t="s">
        <v>2478</v>
      </c>
      <c r="R588">
        <v>10</v>
      </c>
      <c r="S588">
        <v>30</v>
      </c>
      <c r="T588" t="s">
        <v>393</v>
      </c>
      <c r="U588" t="s">
        <v>2009</v>
      </c>
      <c r="V588" t="s">
        <v>2024</v>
      </c>
      <c r="W588" t="s">
        <v>2015</v>
      </c>
      <c r="X588" t="s">
        <v>3047</v>
      </c>
    </row>
    <row r="589" spans="1:24" x14ac:dyDescent="0.3">
      <c r="A589" t="s">
        <v>1178</v>
      </c>
      <c r="B589" t="s">
        <v>106</v>
      </c>
      <c r="D589">
        <f>AVERAGE(13.461,11.859)</f>
        <v>12.66</v>
      </c>
      <c r="E589">
        <f>AVERAGE(6694,6350)</f>
        <v>6522</v>
      </c>
      <c r="F589">
        <v>35.1</v>
      </c>
      <c r="G589" s="11"/>
      <c r="H589" t="s">
        <v>1746</v>
      </c>
      <c r="I589">
        <v>6337</v>
      </c>
      <c r="J589">
        <v>2471604</v>
      </c>
      <c r="K589">
        <v>18</v>
      </c>
      <c r="L589">
        <v>40</v>
      </c>
      <c r="M589" t="s">
        <v>227</v>
      </c>
      <c r="N589" s="6" t="s">
        <v>2479</v>
      </c>
      <c r="R589">
        <v>18</v>
      </c>
      <c r="S589">
        <v>40</v>
      </c>
      <c r="T589" t="s">
        <v>2030</v>
      </c>
      <c r="U589" t="s">
        <v>2009</v>
      </c>
      <c r="V589" t="s">
        <v>2023</v>
      </c>
      <c r="W589" t="s">
        <v>2031</v>
      </c>
    </row>
    <row r="590" spans="1:24" x14ac:dyDescent="0.3">
      <c r="A590" t="s">
        <v>1179</v>
      </c>
      <c r="B590" t="s">
        <v>424</v>
      </c>
      <c r="D590">
        <v>55.121000000000002</v>
      </c>
      <c r="E590">
        <v>13215</v>
      </c>
      <c r="F590">
        <v>50.6</v>
      </c>
      <c r="G590" s="11"/>
      <c r="H590" t="s">
        <v>340</v>
      </c>
      <c r="I590">
        <v>13214</v>
      </c>
      <c r="J590">
        <v>5297145</v>
      </c>
      <c r="K590">
        <v>10</v>
      </c>
      <c r="L590">
        <v>33</v>
      </c>
      <c r="M590" t="s">
        <v>226</v>
      </c>
      <c r="N590" s="6" t="s">
        <v>2176</v>
      </c>
      <c r="R590">
        <v>10</v>
      </c>
      <c r="S590">
        <v>33</v>
      </c>
      <c r="T590" t="s">
        <v>661</v>
      </c>
      <c r="U590" t="s">
        <v>2009</v>
      </c>
      <c r="V590" t="s">
        <v>2024</v>
      </c>
      <c r="W590" t="s">
        <v>2015</v>
      </c>
      <c r="X590" t="s">
        <v>3039</v>
      </c>
    </row>
    <row r="591" spans="1:24" x14ac:dyDescent="0.3">
      <c r="A591" t="s">
        <v>1180</v>
      </c>
      <c r="B591" t="s">
        <v>21</v>
      </c>
      <c r="D591">
        <v>64.394199999999998</v>
      </c>
      <c r="E591">
        <v>18638</v>
      </c>
      <c r="F591">
        <v>49.84</v>
      </c>
      <c r="G591" s="8" t="s">
        <v>2058</v>
      </c>
      <c r="H591" t="s">
        <v>383</v>
      </c>
      <c r="I591" t="s">
        <v>383</v>
      </c>
      <c r="J591" t="s">
        <v>383</v>
      </c>
      <c r="K591">
        <v>15</v>
      </c>
      <c r="L591">
        <v>38</v>
      </c>
      <c r="M591" t="s">
        <v>226</v>
      </c>
      <c r="N591" s="6" t="s">
        <v>2480</v>
      </c>
      <c r="R591">
        <v>15</v>
      </c>
      <c r="S591">
        <v>38</v>
      </c>
      <c r="T591" t="s">
        <v>661</v>
      </c>
      <c r="U591" t="s">
        <v>2009</v>
      </c>
      <c r="V591" t="s">
        <v>2024</v>
      </c>
      <c r="W591" t="s">
        <v>2015</v>
      </c>
      <c r="X591" t="s">
        <v>3039</v>
      </c>
    </row>
    <row r="592" spans="1:24" x14ac:dyDescent="0.3">
      <c r="A592" t="s">
        <v>1181</v>
      </c>
      <c r="B592" t="s">
        <v>178</v>
      </c>
      <c r="D592">
        <v>11.486000000000001</v>
      </c>
      <c r="E592">
        <v>5309</v>
      </c>
      <c r="F592">
        <v>38.6755</v>
      </c>
      <c r="G592" s="11"/>
      <c r="H592" t="s">
        <v>1746</v>
      </c>
      <c r="I592">
        <v>3653</v>
      </c>
      <c r="J592">
        <v>1820601</v>
      </c>
      <c r="K592">
        <v>4</v>
      </c>
      <c r="L592">
        <v>35</v>
      </c>
      <c r="M592" t="s">
        <v>227</v>
      </c>
      <c r="N592" s="6" t="s">
        <v>2481</v>
      </c>
      <c r="R592">
        <v>4</v>
      </c>
      <c r="S592">
        <v>35</v>
      </c>
      <c r="T592" t="s">
        <v>1958</v>
      </c>
      <c r="U592" t="s">
        <v>2009</v>
      </c>
      <c r="V592" t="s">
        <v>2024</v>
      </c>
      <c r="W592" t="s">
        <v>2016</v>
      </c>
      <c r="X592" t="s">
        <v>3045</v>
      </c>
    </row>
    <row r="593" spans="1:24" x14ac:dyDescent="0.3">
      <c r="A593" t="s">
        <v>1182</v>
      </c>
      <c r="B593" t="s">
        <v>145</v>
      </c>
      <c r="D593">
        <v>11.67</v>
      </c>
      <c r="E593">
        <v>5370</v>
      </c>
      <c r="F593">
        <v>39.85</v>
      </c>
      <c r="G593" s="11"/>
      <c r="H593" t="s">
        <v>383</v>
      </c>
      <c r="I593" t="s">
        <v>383</v>
      </c>
      <c r="J593" t="s">
        <v>383</v>
      </c>
      <c r="K593">
        <v>2.37</v>
      </c>
      <c r="L593">
        <v>38.86</v>
      </c>
      <c r="M593" t="s">
        <v>227</v>
      </c>
      <c r="N593" s="6" t="s">
        <v>2291</v>
      </c>
      <c r="R593">
        <v>2.37</v>
      </c>
      <c r="S593">
        <v>38.86</v>
      </c>
      <c r="T593" t="s">
        <v>1958</v>
      </c>
      <c r="U593" t="s">
        <v>2009</v>
      </c>
      <c r="V593" t="s">
        <v>2024</v>
      </c>
      <c r="W593" t="s">
        <v>2016</v>
      </c>
      <c r="X593" t="s">
        <v>3045</v>
      </c>
    </row>
    <row r="594" spans="1:24" ht="15.6" customHeight="1" x14ac:dyDescent="0.3">
      <c r="A594" t="s">
        <v>1183</v>
      </c>
      <c r="B594" t="s">
        <v>156</v>
      </c>
      <c r="D594">
        <f>AVERAGE(11.804,11.572,11.53,11.51,11.55,11.533,12.071,12.001)</f>
        <v>11.696375</v>
      </c>
      <c r="E594">
        <f>AVERAGE(5994,5991,5969,5971,9589,5984,6575,5493)</f>
        <v>6445.75</v>
      </c>
      <c r="F594">
        <v>38.200000000000003</v>
      </c>
      <c r="G594" s="11"/>
      <c r="H594" t="s">
        <v>1746</v>
      </c>
      <c r="I594">
        <v>6060</v>
      </c>
      <c r="J594">
        <v>2937603</v>
      </c>
      <c r="K594">
        <v>2.84</v>
      </c>
      <c r="L594">
        <v>45.39</v>
      </c>
      <c r="M594" t="s">
        <v>228</v>
      </c>
      <c r="N594" s="6" t="s">
        <v>2291</v>
      </c>
      <c r="R594">
        <v>2.84</v>
      </c>
      <c r="S594">
        <v>45.39</v>
      </c>
      <c r="T594" t="s">
        <v>1958</v>
      </c>
      <c r="U594" t="s">
        <v>2009</v>
      </c>
      <c r="V594" t="s">
        <v>2024</v>
      </c>
      <c r="W594" t="s">
        <v>2016</v>
      </c>
      <c r="X594" t="s">
        <v>3045</v>
      </c>
    </row>
    <row r="595" spans="1:24" x14ac:dyDescent="0.3">
      <c r="A595" t="s">
        <v>1184</v>
      </c>
      <c r="B595" t="s">
        <v>168</v>
      </c>
      <c r="D595">
        <v>11.67</v>
      </c>
      <c r="E595">
        <v>5370</v>
      </c>
      <c r="F595">
        <v>39.299999999999997</v>
      </c>
      <c r="G595" s="11"/>
      <c r="H595" t="s">
        <v>340</v>
      </c>
      <c r="I595">
        <v>5379</v>
      </c>
      <c r="J595">
        <v>2677635</v>
      </c>
      <c r="K595">
        <v>7</v>
      </c>
      <c r="L595">
        <v>38</v>
      </c>
      <c r="M595" t="s">
        <v>226</v>
      </c>
      <c r="N595" s="6" t="s">
        <v>2482</v>
      </c>
      <c r="R595">
        <v>7</v>
      </c>
      <c r="S595">
        <v>38</v>
      </c>
      <c r="T595" t="s">
        <v>1958</v>
      </c>
      <c r="U595" t="s">
        <v>2009</v>
      </c>
      <c r="V595" t="s">
        <v>2024</v>
      </c>
      <c r="W595" t="s">
        <v>2016</v>
      </c>
      <c r="X595" t="s">
        <v>3045</v>
      </c>
    </row>
    <row r="596" spans="1:24" ht="15.6" customHeight="1" x14ac:dyDescent="0.3">
      <c r="A596" t="s">
        <v>1185</v>
      </c>
      <c r="B596" t="s">
        <v>244</v>
      </c>
      <c r="D596">
        <v>11.76</v>
      </c>
      <c r="E596">
        <v>5794</v>
      </c>
      <c r="F596">
        <v>37.9</v>
      </c>
      <c r="G596" s="11"/>
      <c r="H596" t="s">
        <v>383</v>
      </c>
      <c r="I596" t="s">
        <v>383</v>
      </c>
      <c r="J596" t="s">
        <v>383</v>
      </c>
      <c r="K596">
        <v>12</v>
      </c>
      <c r="L596">
        <v>37</v>
      </c>
      <c r="M596" t="s">
        <v>227</v>
      </c>
      <c r="N596" s="6" t="s">
        <v>2483</v>
      </c>
      <c r="R596">
        <v>12</v>
      </c>
      <c r="S596">
        <v>37</v>
      </c>
      <c r="T596" t="s">
        <v>1958</v>
      </c>
      <c r="U596" t="s">
        <v>2009</v>
      </c>
      <c r="V596" t="s">
        <v>2024</v>
      </c>
      <c r="W596" t="s">
        <v>2016</v>
      </c>
      <c r="X596" t="s">
        <v>3045</v>
      </c>
    </row>
    <row r="597" spans="1:24" x14ac:dyDescent="0.3">
      <c r="A597" t="s">
        <v>1186</v>
      </c>
      <c r="B597" t="s">
        <v>154</v>
      </c>
      <c r="D597">
        <v>10.2875</v>
      </c>
      <c r="E597">
        <v>3764</v>
      </c>
      <c r="F597">
        <v>40.5</v>
      </c>
      <c r="G597" s="11"/>
      <c r="H597" t="s">
        <v>1746</v>
      </c>
      <c r="I597">
        <v>3745</v>
      </c>
      <c r="J597">
        <v>1538632</v>
      </c>
      <c r="K597">
        <v>4.29</v>
      </c>
      <c r="L597">
        <v>36.799999999999997</v>
      </c>
      <c r="M597" t="s">
        <v>228</v>
      </c>
      <c r="N597" s="6" t="s">
        <v>2291</v>
      </c>
      <c r="R597">
        <v>4.29</v>
      </c>
      <c r="S597">
        <v>36.799999999999997</v>
      </c>
      <c r="T597" t="s">
        <v>1958</v>
      </c>
      <c r="U597" t="s">
        <v>2009</v>
      </c>
      <c r="V597" t="s">
        <v>2024</v>
      </c>
      <c r="W597" t="s">
        <v>2016</v>
      </c>
      <c r="X597" t="s">
        <v>3045</v>
      </c>
    </row>
    <row r="598" spans="1:24" x14ac:dyDescent="0.3">
      <c r="A598" t="s">
        <v>1188</v>
      </c>
      <c r="B598" t="s">
        <v>144</v>
      </c>
      <c r="D598">
        <v>11.6312</v>
      </c>
      <c r="E598">
        <v>5849</v>
      </c>
      <c r="F598">
        <v>37.4</v>
      </c>
      <c r="G598" s="11"/>
      <c r="H598" t="s">
        <v>341</v>
      </c>
      <c r="I598">
        <v>5576</v>
      </c>
      <c r="J598">
        <v>2804618</v>
      </c>
      <c r="K598">
        <v>1.79</v>
      </c>
      <c r="L598">
        <v>40.200000000000003</v>
      </c>
      <c r="M598" t="s">
        <v>227</v>
      </c>
      <c r="N598" s="6" t="s">
        <v>2291</v>
      </c>
      <c r="R598">
        <v>1.79</v>
      </c>
      <c r="S598">
        <v>40.200000000000003</v>
      </c>
      <c r="T598" t="s">
        <v>1958</v>
      </c>
      <c r="U598" t="s">
        <v>2009</v>
      </c>
      <c r="V598" t="s">
        <v>2024</v>
      </c>
      <c r="W598" t="s">
        <v>2016</v>
      </c>
      <c r="X598" t="s">
        <v>3045</v>
      </c>
    </row>
    <row r="599" spans="1:24" x14ac:dyDescent="0.3">
      <c r="A599" t="s">
        <v>1189</v>
      </c>
      <c r="B599" t="s">
        <v>155</v>
      </c>
      <c r="D599">
        <v>11.780900000000001</v>
      </c>
      <c r="E599">
        <v>5542</v>
      </c>
      <c r="F599">
        <v>38.5</v>
      </c>
      <c r="G599" s="11"/>
      <c r="H599" t="s">
        <v>341</v>
      </c>
      <c r="I599">
        <v>5528</v>
      </c>
      <c r="J599">
        <v>2780023</v>
      </c>
      <c r="K599">
        <v>1.69</v>
      </c>
      <c r="L599">
        <v>41.65</v>
      </c>
      <c r="M599" t="s">
        <v>227</v>
      </c>
      <c r="N599" s="6" t="s">
        <v>2291</v>
      </c>
      <c r="R599">
        <v>1.69</v>
      </c>
      <c r="S599">
        <v>41.65</v>
      </c>
      <c r="T599" t="s">
        <v>1958</v>
      </c>
      <c r="U599" t="s">
        <v>2009</v>
      </c>
      <c r="V599" t="s">
        <v>2024</v>
      </c>
      <c r="W599" t="s">
        <v>2016</v>
      </c>
      <c r="X599" t="s">
        <v>3045</v>
      </c>
    </row>
    <row r="600" spans="1:24" x14ac:dyDescent="0.3">
      <c r="A600" t="s">
        <v>1190</v>
      </c>
      <c r="B600" t="s">
        <v>149</v>
      </c>
      <c r="C600" t="s">
        <v>357</v>
      </c>
      <c r="D600">
        <v>23.034600000000001</v>
      </c>
      <c r="E600">
        <v>10760</v>
      </c>
      <c r="F600">
        <v>39.069400000000002</v>
      </c>
      <c r="G600" s="11"/>
      <c r="H600" t="s">
        <v>341</v>
      </c>
      <c r="I600">
        <v>10760</v>
      </c>
      <c r="J600">
        <v>5260269</v>
      </c>
      <c r="K600">
        <v>21</v>
      </c>
      <c r="L600">
        <v>34</v>
      </c>
      <c r="M600" t="s">
        <v>226</v>
      </c>
      <c r="N600" s="6" t="s">
        <v>2484</v>
      </c>
      <c r="R600">
        <v>21</v>
      </c>
      <c r="S600">
        <v>34</v>
      </c>
      <c r="T600" t="s">
        <v>1958</v>
      </c>
      <c r="U600" t="s">
        <v>2009</v>
      </c>
      <c r="V600" t="s">
        <v>2024</v>
      </c>
      <c r="W600" t="s">
        <v>2016</v>
      </c>
      <c r="X600" t="s">
        <v>3045</v>
      </c>
    </row>
    <row r="601" spans="1:24" x14ac:dyDescent="0.3">
      <c r="A601" t="s">
        <v>1191</v>
      </c>
      <c r="B601" t="s">
        <v>166</v>
      </c>
      <c r="D601">
        <v>19.430800000000001</v>
      </c>
      <c r="E601">
        <v>6155</v>
      </c>
      <c r="F601">
        <v>38.218800000000002</v>
      </c>
      <c r="G601" s="8" t="s">
        <v>2146</v>
      </c>
      <c r="H601" t="s">
        <v>383</v>
      </c>
      <c r="I601" t="s">
        <v>383</v>
      </c>
      <c r="J601" t="s">
        <v>383</v>
      </c>
      <c r="K601">
        <v>4.41</v>
      </c>
      <c r="L601">
        <v>37.799999999999997</v>
      </c>
      <c r="M601" t="s">
        <v>227</v>
      </c>
      <c r="N601" s="6" t="s">
        <v>2343</v>
      </c>
      <c r="R601">
        <v>4.41</v>
      </c>
      <c r="S601">
        <v>37.799999999999997</v>
      </c>
      <c r="T601" t="s">
        <v>1959</v>
      </c>
      <c r="U601" t="s">
        <v>2009</v>
      </c>
      <c r="V601" t="s">
        <v>2024</v>
      </c>
      <c r="W601" t="s">
        <v>2016</v>
      </c>
      <c r="X601" t="s">
        <v>3045</v>
      </c>
    </row>
    <row r="602" spans="1:24" x14ac:dyDescent="0.3">
      <c r="A602" t="s">
        <v>961</v>
      </c>
      <c r="B602" t="s">
        <v>491</v>
      </c>
      <c r="C602" t="s">
        <v>493</v>
      </c>
      <c r="D602">
        <v>58.589599999999997</v>
      </c>
      <c r="E602">
        <v>10224</v>
      </c>
      <c r="F602">
        <v>59.9</v>
      </c>
      <c r="G602" s="11"/>
      <c r="H602" t="s">
        <v>1746</v>
      </c>
      <c r="I602">
        <v>10205</v>
      </c>
      <c r="J602">
        <v>5014707</v>
      </c>
      <c r="K602">
        <v>4</v>
      </c>
      <c r="L602">
        <v>30</v>
      </c>
      <c r="M602" t="s">
        <v>227</v>
      </c>
      <c r="N602" s="6" t="s">
        <v>2234</v>
      </c>
      <c r="R602">
        <v>4</v>
      </c>
      <c r="S602">
        <v>30</v>
      </c>
      <c r="T602" t="s">
        <v>492</v>
      </c>
      <c r="U602" t="s">
        <v>2009</v>
      </c>
      <c r="V602" t="s">
        <v>2024</v>
      </c>
      <c r="W602" t="s">
        <v>2015</v>
      </c>
      <c r="X602" t="s">
        <v>3043</v>
      </c>
    </row>
    <row r="603" spans="1:24" x14ac:dyDescent="0.3">
      <c r="A603" t="s">
        <v>1192</v>
      </c>
      <c r="B603" t="s">
        <v>325</v>
      </c>
      <c r="D603">
        <v>34.700000000000003</v>
      </c>
      <c r="E603">
        <v>12541</v>
      </c>
      <c r="F603">
        <v>46.27</v>
      </c>
      <c r="G603" s="8" t="s">
        <v>2058</v>
      </c>
      <c r="H603" t="s">
        <v>383</v>
      </c>
      <c r="I603" t="s">
        <v>383</v>
      </c>
      <c r="J603" t="s">
        <v>383</v>
      </c>
      <c r="K603">
        <v>7</v>
      </c>
      <c r="L603">
        <v>33</v>
      </c>
      <c r="M603" t="s">
        <v>226</v>
      </c>
      <c r="N603" s="6" t="s">
        <v>2485</v>
      </c>
      <c r="R603">
        <v>7</v>
      </c>
      <c r="S603">
        <v>33</v>
      </c>
      <c r="T603" t="s">
        <v>1960</v>
      </c>
      <c r="U603" t="s">
        <v>2009</v>
      </c>
      <c r="V603" t="s">
        <v>2024</v>
      </c>
      <c r="W603" t="s">
        <v>2015</v>
      </c>
      <c r="X603" t="s">
        <v>3039</v>
      </c>
    </row>
    <row r="604" spans="1:24" x14ac:dyDescent="0.3">
      <c r="A604" t="s">
        <v>1306</v>
      </c>
      <c r="B604" t="s">
        <v>819</v>
      </c>
      <c r="D604">
        <v>34</v>
      </c>
      <c r="E604">
        <v>12033</v>
      </c>
      <c r="F604">
        <v>52</v>
      </c>
      <c r="G604" s="8" t="s">
        <v>2147</v>
      </c>
      <c r="H604" t="s">
        <v>383</v>
      </c>
      <c r="I604" t="s">
        <v>383</v>
      </c>
      <c r="J604" t="s">
        <v>383</v>
      </c>
      <c r="K604">
        <v>15</v>
      </c>
      <c r="L604">
        <v>35</v>
      </c>
      <c r="M604" t="s">
        <v>227</v>
      </c>
      <c r="N604" s="6" t="s">
        <v>2486</v>
      </c>
      <c r="R604">
        <v>15</v>
      </c>
      <c r="S604">
        <v>35</v>
      </c>
      <c r="T604" t="s">
        <v>1961</v>
      </c>
      <c r="U604" t="s">
        <v>2009</v>
      </c>
      <c r="V604" t="s">
        <v>2024</v>
      </c>
      <c r="W604" t="s">
        <v>2016</v>
      </c>
      <c r="X604" t="s">
        <v>2039</v>
      </c>
    </row>
    <row r="605" spans="1:24" x14ac:dyDescent="0.3">
      <c r="A605" t="s">
        <v>1738</v>
      </c>
      <c r="B605" t="s">
        <v>1723</v>
      </c>
      <c r="D605">
        <v>25.8</v>
      </c>
      <c r="E605">
        <v>7957</v>
      </c>
      <c r="F605">
        <v>57.5</v>
      </c>
      <c r="G605" s="8" t="s">
        <v>2148</v>
      </c>
      <c r="H605" t="s">
        <v>383</v>
      </c>
      <c r="I605" t="s">
        <v>383</v>
      </c>
      <c r="J605" t="s">
        <v>383</v>
      </c>
      <c r="K605">
        <v>15</v>
      </c>
      <c r="L605">
        <v>28</v>
      </c>
      <c r="M605" t="s">
        <v>236</v>
      </c>
      <c r="N605" s="6" t="s">
        <v>2487</v>
      </c>
      <c r="R605">
        <v>15</v>
      </c>
      <c r="S605">
        <v>28</v>
      </c>
      <c r="T605" t="s">
        <v>1962</v>
      </c>
      <c r="U605" t="s">
        <v>2009</v>
      </c>
      <c r="V605" t="s">
        <v>2024</v>
      </c>
      <c r="W605" t="s">
        <v>2016</v>
      </c>
      <c r="X605" t="s">
        <v>2039</v>
      </c>
    </row>
    <row r="606" spans="1:24" x14ac:dyDescent="0.3">
      <c r="A606" t="s">
        <v>917</v>
      </c>
      <c r="B606" t="s">
        <v>278</v>
      </c>
      <c r="C606" t="s">
        <v>337</v>
      </c>
      <c r="D606">
        <v>16.623000000000001</v>
      </c>
      <c r="E606">
        <v>6035</v>
      </c>
      <c r="F606">
        <v>40.35</v>
      </c>
      <c r="G606" s="11"/>
      <c r="H606" t="s">
        <v>3707</v>
      </c>
      <c r="I606">
        <v>6035</v>
      </c>
      <c r="J606">
        <v>3056054</v>
      </c>
      <c r="K606">
        <v>10</v>
      </c>
      <c r="L606">
        <v>40</v>
      </c>
      <c r="M606" t="s">
        <v>226</v>
      </c>
      <c r="N606" s="6" t="s">
        <v>2488</v>
      </c>
      <c r="R606">
        <v>10</v>
      </c>
      <c r="S606">
        <v>40</v>
      </c>
      <c r="T606" t="s">
        <v>1963</v>
      </c>
      <c r="U606" t="s">
        <v>2009</v>
      </c>
      <c r="V606" t="s">
        <v>2024</v>
      </c>
      <c r="W606" t="s">
        <v>2016</v>
      </c>
      <c r="X606" t="s">
        <v>3045</v>
      </c>
    </row>
    <row r="607" spans="1:24" ht="15.6" customHeight="1" x14ac:dyDescent="0.3">
      <c r="A607" t="s">
        <v>1137</v>
      </c>
      <c r="B607" t="s">
        <v>294</v>
      </c>
      <c r="C607" t="s">
        <v>161</v>
      </c>
      <c r="D607">
        <f>AVERAGE(15.223,15.441)</f>
        <v>15.332000000000001</v>
      </c>
      <c r="E607">
        <f>AVERAGE(5994,5807)</f>
        <v>5900.5</v>
      </c>
      <c r="F607">
        <v>41.1</v>
      </c>
      <c r="G607" s="11"/>
      <c r="H607" t="s">
        <v>1746</v>
      </c>
      <c r="I607">
        <v>5797</v>
      </c>
      <c r="J607">
        <v>2852044</v>
      </c>
      <c r="K607">
        <v>8</v>
      </c>
      <c r="L607">
        <v>39</v>
      </c>
      <c r="M607" t="s">
        <v>226</v>
      </c>
      <c r="N607" s="6" t="s">
        <v>2489</v>
      </c>
      <c r="O607" s="13"/>
      <c r="P607" s="13"/>
      <c r="R607">
        <v>8</v>
      </c>
      <c r="S607">
        <v>39</v>
      </c>
      <c r="T607" t="s">
        <v>1963</v>
      </c>
      <c r="U607" t="s">
        <v>2009</v>
      </c>
      <c r="V607" t="s">
        <v>2024</v>
      </c>
      <c r="W607" t="s">
        <v>2016</v>
      </c>
      <c r="X607" t="s">
        <v>3045</v>
      </c>
    </row>
    <row r="608" spans="1:24" ht="15.6" customHeight="1" x14ac:dyDescent="0.3">
      <c r="A608" t="s">
        <v>1193</v>
      </c>
      <c r="B608" t="s">
        <v>72</v>
      </c>
      <c r="D608">
        <f>AVERAGE(38.363,36.907,37.387,37.739,38.028,38.321,38.251,36.64,38.67,35.882,36.459)</f>
        <v>37.513363636363636</v>
      </c>
      <c r="E608">
        <f>AVERAGE(13333,13419,13467,13373,13398,13547,13533,13032,16319,13827,15199)</f>
        <v>13858.818181818182</v>
      </c>
      <c r="F608">
        <v>57.6</v>
      </c>
      <c r="G608" s="11"/>
      <c r="H608" t="s">
        <v>1746</v>
      </c>
      <c r="I608">
        <v>13124</v>
      </c>
      <c r="J608">
        <v>5881408</v>
      </c>
      <c r="K608">
        <v>12</v>
      </c>
      <c r="L608">
        <v>39</v>
      </c>
      <c r="M608" t="s">
        <v>226</v>
      </c>
      <c r="N608" s="6" t="s">
        <v>2490</v>
      </c>
      <c r="O608">
        <v>4</v>
      </c>
      <c r="P608">
        <v>45</v>
      </c>
      <c r="Q608">
        <v>11</v>
      </c>
      <c r="R608">
        <v>4</v>
      </c>
      <c r="S608">
        <v>45</v>
      </c>
      <c r="T608" t="s">
        <v>1964</v>
      </c>
      <c r="U608" t="s">
        <v>2009</v>
      </c>
      <c r="V608" t="s">
        <v>2024</v>
      </c>
      <c r="W608" t="s">
        <v>2015</v>
      </c>
      <c r="X608" t="s">
        <v>3039</v>
      </c>
    </row>
    <row r="609" spans="1:24" x14ac:dyDescent="0.3">
      <c r="A609" t="s">
        <v>1194</v>
      </c>
      <c r="B609" t="s">
        <v>160</v>
      </c>
      <c r="D609">
        <v>11.5548</v>
      </c>
      <c r="E609">
        <v>5180</v>
      </c>
      <c r="F609">
        <v>37.700000000000003</v>
      </c>
      <c r="G609" s="11"/>
      <c r="H609" t="s">
        <v>1746</v>
      </c>
      <c r="I609">
        <v>5135</v>
      </c>
      <c r="J609">
        <v>2326793</v>
      </c>
      <c r="K609">
        <v>16</v>
      </c>
      <c r="L609">
        <v>30</v>
      </c>
      <c r="M609" t="s">
        <v>227</v>
      </c>
      <c r="N609" s="6" t="s">
        <v>2330</v>
      </c>
      <c r="R609">
        <v>16</v>
      </c>
      <c r="S609">
        <v>30</v>
      </c>
      <c r="T609" t="s">
        <v>1850</v>
      </c>
      <c r="U609" t="s">
        <v>2009</v>
      </c>
      <c r="V609" t="s">
        <v>2024</v>
      </c>
      <c r="W609" t="s">
        <v>2016</v>
      </c>
      <c r="X609" t="s">
        <v>3048</v>
      </c>
    </row>
    <row r="610" spans="1:24" x14ac:dyDescent="0.3">
      <c r="A610" t="s">
        <v>1196</v>
      </c>
      <c r="B610" t="s">
        <v>148</v>
      </c>
      <c r="D610">
        <v>11.634499999999999</v>
      </c>
      <c r="E610">
        <v>4986</v>
      </c>
      <c r="F610">
        <v>37.9</v>
      </c>
      <c r="G610" s="11"/>
      <c r="H610" t="s">
        <v>340</v>
      </c>
      <c r="I610">
        <v>4986</v>
      </c>
      <c r="J610">
        <v>2302372</v>
      </c>
      <c r="K610">
        <v>16</v>
      </c>
      <c r="L610">
        <v>34</v>
      </c>
      <c r="M610" t="s">
        <v>236</v>
      </c>
      <c r="N610" s="6" t="s">
        <v>2292</v>
      </c>
      <c r="R610">
        <v>16</v>
      </c>
      <c r="S610">
        <v>34</v>
      </c>
      <c r="T610" t="s">
        <v>1850</v>
      </c>
      <c r="U610" t="s">
        <v>2009</v>
      </c>
      <c r="V610" t="s">
        <v>2024</v>
      </c>
      <c r="W610" t="s">
        <v>2016</v>
      </c>
      <c r="X610" t="s">
        <v>3048</v>
      </c>
    </row>
    <row r="611" spans="1:24" x14ac:dyDescent="0.3">
      <c r="A611" t="s">
        <v>1197</v>
      </c>
      <c r="B611" t="s">
        <v>165</v>
      </c>
      <c r="D611">
        <v>12.612</v>
      </c>
      <c r="E611">
        <v>5134</v>
      </c>
      <c r="F611">
        <v>36</v>
      </c>
      <c r="G611" s="11"/>
      <c r="H611" t="s">
        <v>1746</v>
      </c>
      <c r="I611">
        <v>5117</v>
      </c>
      <c r="J611">
        <v>2379355</v>
      </c>
      <c r="K611">
        <v>15</v>
      </c>
      <c r="L611">
        <v>40</v>
      </c>
      <c r="M611" t="s">
        <v>227</v>
      </c>
      <c r="N611" s="6" t="s">
        <v>2330</v>
      </c>
      <c r="R611">
        <v>15</v>
      </c>
      <c r="S611">
        <v>40</v>
      </c>
      <c r="T611" t="s">
        <v>1850</v>
      </c>
      <c r="U611" t="s">
        <v>2009</v>
      </c>
      <c r="V611" t="s">
        <v>2024</v>
      </c>
      <c r="W611" t="s">
        <v>2016</v>
      </c>
      <c r="X611" t="s">
        <v>3048</v>
      </c>
    </row>
    <row r="612" spans="1:24" x14ac:dyDescent="0.3">
      <c r="A612" t="s">
        <v>1646</v>
      </c>
      <c r="B612" t="s">
        <v>3858</v>
      </c>
      <c r="D612">
        <v>299.89999999999998</v>
      </c>
      <c r="E612">
        <v>65404</v>
      </c>
      <c r="F612">
        <v>47.5</v>
      </c>
      <c r="G612" s="8" t="s">
        <v>2149</v>
      </c>
      <c r="H612" t="s">
        <v>383</v>
      </c>
      <c r="I612" t="s">
        <v>383</v>
      </c>
      <c r="J612" t="s">
        <v>383</v>
      </c>
      <c r="M612" t="s">
        <v>1691</v>
      </c>
      <c r="N612" s="6" t="s">
        <v>2168</v>
      </c>
      <c r="O612">
        <v>5</v>
      </c>
      <c r="P612">
        <v>38</v>
      </c>
      <c r="Q612">
        <v>69</v>
      </c>
      <c r="R612">
        <v>5</v>
      </c>
      <c r="S612">
        <v>38</v>
      </c>
      <c r="T612" t="s">
        <v>1965</v>
      </c>
      <c r="U612" t="s">
        <v>2010</v>
      </c>
      <c r="V612" t="s">
        <v>2025</v>
      </c>
      <c r="W612" t="s">
        <v>2021</v>
      </c>
    </row>
    <row r="613" spans="1:24" x14ac:dyDescent="0.3">
      <c r="A613" t="s">
        <v>1198</v>
      </c>
      <c r="B613" t="s">
        <v>88</v>
      </c>
      <c r="D613">
        <v>39.450099999999999</v>
      </c>
      <c r="E613">
        <v>10166</v>
      </c>
      <c r="F613">
        <v>41.9</v>
      </c>
      <c r="G613" s="11"/>
      <c r="H613" t="s">
        <v>1746</v>
      </c>
      <c r="I613">
        <v>10165</v>
      </c>
      <c r="J613">
        <v>5168600</v>
      </c>
      <c r="K613">
        <v>-5</v>
      </c>
      <c r="L613">
        <v>15</v>
      </c>
      <c r="M613" t="s">
        <v>227</v>
      </c>
      <c r="N613" s="6" t="s">
        <v>2491</v>
      </c>
      <c r="R613">
        <v>-5</v>
      </c>
      <c r="S613">
        <v>15</v>
      </c>
      <c r="T613" t="s">
        <v>662</v>
      </c>
      <c r="U613" t="s">
        <v>2009</v>
      </c>
      <c r="V613" t="s">
        <v>2024</v>
      </c>
      <c r="W613" t="s">
        <v>2016</v>
      </c>
      <c r="X613" t="s">
        <v>2039</v>
      </c>
    </row>
    <row r="614" spans="1:24" x14ac:dyDescent="0.3">
      <c r="A614" t="s">
        <v>1648</v>
      </c>
      <c r="B614" t="s">
        <v>3859</v>
      </c>
      <c r="D614">
        <v>40</v>
      </c>
      <c r="E614">
        <v>11182</v>
      </c>
      <c r="F614">
        <v>42</v>
      </c>
      <c r="G614" s="8" t="s">
        <v>2150</v>
      </c>
      <c r="H614" t="s">
        <v>383</v>
      </c>
      <c r="I614" t="s">
        <v>383</v>
      </c>
      <c r="J614" t="s">
        <v>383</v>
      </c>
      <c r="M614" t="s">
        <v>1691</v>
      </c>
      <c r="N614" s="6" t="s">
        <v>2168</v>
      </c>
      <c r="O614">
        <v>0</v>
      </c>
      <c r="P614">
        <v>32.5</v>
      </c>
      <c r="Q614">
        <v>11</v>
      </c>
      <c r="R614">
        <v>0</v>
      </c>
      <c r="S614">
        <v>32.5</v>
      </c>
      <c r="T614" t="s">
        <v>662</v>
      </c>
      <c r="U614" t="s">
        <v>2009</v>
      </c>
      <c r="V614" t="s">
        <v>2024</v>
      </c>
      <c r="W614" t="s">
        <v>2016</v>
      </c>
      <c r="X614" t="s">
        <v>2039</v>
      </c>
    </row>
    <row r="615" spans="1:24" x14ac:dyDescent="0.3">
      <c r="A615" t="s">
        <v>1384</v>
      </c>
      <c r="B615" t="s">
        <v>728</v>
      </c>
      <c r="D615">
        <v>50.2</v>
      </c>
      <c r="E615">
        <v>13276</v>
      </c>
      <c r="F615">
        <v>39.5</v>
      </c>
      <c r="G615" s="11"/>
      <c r="H615" t="s">
        <v>1746</v>
      </c>
      <c r="I615">
        <v>13085</v>
      </c>
      <c r="J615">
        <v>5675702</v>
      </c>
      <c r="K615">
        <v>8</v>
      </c>
      <c r="L615">
        <v>28</v>
      </c>
      <c r="M615" t="s">
        <v>227</v>
      </c>
      <c r="N615" s="6" t="s">
        <v>2492</v>
      </c>
      <c r="R615">
        <v>8</v>
      </c>
      <c r="S615">
        <v>28</v>
      </c>
      <c r="T615" t="s">
        <v>662</v>
      </c>
      <c r="U615" t="s">
        <v>2009</v>
      </c>
      <c r="V615" t="s">
        <v>2024</v>
      </c>
      <c r="W615" t="s">
        <v>2016</v>
      </c>
      <c r="X615" t="s">
        <v>2039</v>
      </c>
    </row>
    <row r="616" spans="1:24" x14ac:dyDescent="0.3">
      <c r="A616" t="s">
        <v>1199</v>
      </c>
      <c r="B616" t="s">
        <v>70</v>
      </c>
      <c r="D616">
        <v>38.33</v>
      </c>
      <c r="E616">
        <v>14503</v>
      </c>
      <c r="F616">
        <v>41.6</v>
      </c>
      <c r="G616" s="11"/>
      <c r="H616" t="s">
        <v>1746</v>
      </c>
      <c r="I616">
        <v>14445</v>
      </c>
      <c r="J616">
        <v>5243077</v>
      </c>
      <c r="K616">
        <v>6</v>
      </c>
      <c r="L616">
        <v>29</v>
      </c>
      <c r="M616" t="s">
        <v>228</v>
      </c>
      <c r="N616" s="6" t="s">
        <v>2493</v>
      </c>
      <c r="O616">
        <v>0</v>
      </c>
      <c r="P616">
        <v>37</v>
      </c>
      <c r="Q616">
        <v>48</v>
      </c>
      <c r="R616">
        <v>0</v>
      </c>
      <c r="S616">
        <v>37</v>
      </c>
      <c r="T616" t="s">
        <v>662</v>
      </c>
      <c r="U616" t="s">
        <v>2009</v>
      </c>
      <c r="V616" t="s">
        <v>2024</v>
      </c>
      <c r="W616" t="s">
        <v>2016</v>
      </c>
      <c r="X616" t="s">
        <v>2039</v>
      </c>
    </row>
    <row r="617" spans="1:24" x14ac:dyDescent="0.3">
      <c r="A617" t="s">
        <v>1650</v>
      </c>
      <c r="B617" t="s">
        <v>3860</v>
      </c>
      <c r="D617">
        <v>45.978000000000002</v>
      </c>
      <c r="E617">
        <v>13805</v>
      </c>
      <c r="F617">
        <v>44.57</v>
      </c>
      <c r="G617" s="11"/>
      <c r="H617" t="s">
        <v>3707</v>
      </c>
      <c r="I617">
        <v>13805</v>
      </c>
      <c r="J617">
        <v>4952964</v>
      </c>
      <c r="M617" t="s">
        <v>1691</v>
      </c>
      <c r="N617" s="6" t="s">
        <v>2168</v>
      </c>
      <c r="O617">
        <v>3</v>
      </c>
      <c r="P617">
        <v>36</v>
      </c>
      <c r="Q617">
        <v>25</v>
      </c>
      <c r="R617">
        <v>3</v>
      </c>
      <c r="S617">
        <v>36</v>
      </c>
      <c r="T617" t="s">
        <v>1966</v>
      </c>
      <c r="U617" t="s">
        <v>2009</v>
      </c>
      <c r="V617" t="s">
        <v>2024</v>
      </c>
      <c r="W617" t="s">
        <v>2015</v>
      </c>
      <c r="X617" t="s">
        <v>3039</v>
      </c>
    </row>
    <row r="618" spans="1:24" x14ac:dyDescent="0.3">
      <c r="A618" t="s">
        <v>1200</v>
      </c>
      <c r="B618" t="s">
        <v>24</v>
      </c>
      <c r="D618">
        <f>AVERAGE(42.735,47.043)</f>
        <v>44.888999999999996</v>
      </c>
      <c r="E618">
        <f>AVERAGE(12789,14495)</f>
        <v>13642</v>
      </c>
      <c r="F618">
        <v>44.8</v>
      </c>
      <c r="G618" s="11"/>
      <c r="H618" t="s">
        <v>1746</v>
      </c>
      <c r="I618">
        <v>14339</v>
      </c>
      <c r="J618">
        <v>4645570</v>
      </c>
      <c r="K618">
        <v>0</v>
      </c>
      <c r="L618">
        <v>27</v>
      </c>
      <c r="M618" t="s">
        <v>227</v>
      </c>
      <c r="N618" s="6" t="s">
        <v>2289</v>
      </c>
      <c r="O618">
        <v>3</v>
      </c>
      <c r="P618">
        <v>32</v>
      </c>
      <c r="Q618">
        <v>23</v>
      </c>
      <c r="R618">
        <v>0</v>
      </c>
      <c r="S618">
        <v>32</v>
      </c>
      <c r="T618" t="s">
        <v>1966</v>
      </c>
      <c r="U618" t="s">
        <v>2009</v>
      </c>
      <c r="V618" t="s">
        <v>2024</v>
      </c>
      <c r="W618" t="s">
        <v>2015</v>
      </c>
      <c r="X618" t="s">
        <v>3039</v>
      </c>
    </row>
    <row r="619" spans="1:24" x14ac:dyDescent="0.3">
      <c r="A619" t="s">
        <v>828</v>
      </c>
      <c r="B619" t="s">
        <v>189</v>
      </c>
      <c r="C619" t="s">
        <v>311</v>
      </c>
      <c r="D619">
        <v>54.42</v>
      </c>
      <c r="E619">
        <v>9521</v>
      </c>
      <c r="F619">
        <v>46.33</v>
      </c>
      <c r="G619" s="11"/>
      <c r="H619" t="s">
        <v>340</v>
      </c>
      <c r="I619">
        <v>9497</v>
      </c>
      <c r="J619">
        <v>4332564</v>
      </c>
      <c r="K619">
        <v>12</v>
      </c>
      <c r="L619">
        <v>38</v>
      </c>
      <c r="M619" t="s">
        <v>226</v>
      </c>
      <c r="N619" s="6" t="s">
        <v>2177</v>
      </c>
      <c r="R619">
        <v>12</v>
      </c>
      <c r="S619">
        <v>38</v>
      </c>
      <c r="T619" t="s">
        <v>1967</v>
      </c>
      <c r="U619" t="s">
        <v>2009</v>
      </c>
      <c r="V619" t="s">
        <v>2024</v>
      </c>
      <c r="W619" t="s">
        <v>2016</v>
      </c>
      <c r="X619" t="s">
        <v>2039</v>
      </c>
    </row>
    <row r="620" spans="1:24" x14ac:dyDescent="0.3">
      <c r="A620" t="s">
        <v>1386</v>
      </c>
      <c r="B620" t="s">
        <v>729</v>
      </c>
      <c r="D620">
        <v>39.4</v>
      </c>
      <c r="E620">
        <v>10804</v>
      </c>
      <c r="F620">
        <v>52</v>
      </c>
      <c r="G620" s="11"/>
      <c r="H620" t="s">
        <v>1746</v>
      </c>
      <c r="I620">
        <v>9890</v>
      </c>
      <c r="J620">
        <v>5012912</v>
      </c>
      <c r="K620">
        <v>4</v>
      </c>
      <c r="L620">
        <v>42</v>
      </c>
      <c r="M620" t="s">
        <v>226</v>
      </c>
      <c r="N620" s="6" t="s">
        <v>2494</v>
      </c>
      <c r="R620">
        <v>4</v>
      </c>
      <c r="S620">
        <v>42</v>
      </c>
      <c r="T620" t="s">
        <v>1968</v>
      </c>
      <c r="U620" t="s">
        <v>2009</v>
      </c>
      <c r="V620" t="s">
        <v>2024</v>
      </c>
      <c r="W620" t="s">
        <v>2016</v>
      </c>
      <c r="X620" t="s">
        <v>2039</v>
      </c>
    </row>
    <row r="621" spans="1:24" x14ac:dyDescent="0.3">
      <c r="A621" t="s">
        <v>1652</v>
      </c>
      <c r="B621" t="s">
        <v>3861</v>
      </c>
      <c r="D621">
        <v>18.385999999999999</v>
      </c>
      <c r="E621">
        <v>6648</v>
      </c>
      <c r="F621">
        <v>59.5</v>
      </c>
      <c r="G621" s="11"/>
      <c r="H621" t="s">
        <v>341</v>
      </c>
      <c r="I621">
        <v>6682</v>
      </c>
      <c r="J621">
        <v>3974743</v>
      </c>
      <c r="M621" t="s">
        <v>1691</v>
      </c>
      <c r="N621" s="6" t="s">
        <v>2168</v>
      </c>
      <c r="O621">
        <v>16</v>
      </c>
      <c r="P621">
        <v>36</v>
      </c>
      <c r="Q621">
        <v>6</v>
      </c>
      <c r="R621">
        <v>16</v>
      </c>
      <c r="S621">
        <v>36</v>
      </c>
      <c r="T621" t="s">
        <v>1969</v>
      </c>
      <c r="U621" t="s">
        <v>2009</v>
      </c>
      <c r="V621" t="s">
        <v>2024</v>
      </c>
      <c r="W621" t="s">
        <v>2015</v>
      </c>
      <c r="X621" t="s">
        <v>3050</v>
      </c>
    </row>
    <row r="622" spans="1:24" x14ac:dyDescent="0.3">
      <c r="A622" t="s">
        <v>1654</v>
      </c>
      <c r="B622" t="s">
        <v>3862</v>
      </c>
      <c r="D622">
        <v>24.8</v>
      </c>
      <c r="E622">
        <v>8577</v>
      </c>
      <c r="F622">
        <v>55.5</v>
      </c>
      <c r="G622" s="8" t="s">
        <v>2151</v>
      </c>
      <c r="H622" t="s">
        <v>383</v>
      </c>
      <c r="I622" t="s">
        <v>383</v>
      </c>
      <c r="J622" t="s">
        <v>383</v>
      </c>
      <c r="M622" t="s">
        <v>1691</v>
      </c>
      <c r="N622" s="6" t="s">
        <v>2168</v>
      </c>
      <c r="O622">
        <v>10</v>
      </c>
      <c r="P622">
        <v>35</v>
      </c>
      <c r="Q622">
        <v>8</v>
      </c>
      <c r="R622">
        <v>10</v>
      </c>
      <c r="S622">
        <v>35</v>
      </c>
      <c r="T622" t="s">
        <v>1969</v>
      </c>
      <c r="U622" t="s">
        <v>2009</v>
      </c>
      <c r="V622" t="s">
        <v>2024</v>
      </c>
      <c r="W622" t="s">
        <v>2015</v>
      </c>
      <c r="X622" t="s">
        <v>3050</v>
      </c>
    </row>
    <row r="623" spans="1:24" x14ac:dyDescent="0.3">
      <c r="A623" t="s">
        <v>1201</v>
      </c>
      <c r="B623" t="s">
        <v>119</v>
      </c>
      <c r="D623">
        <v>21.172999999999998</v>
      </c>
      <c r="E623">
        <v>5536</v>
      </c>
      <c r="F623">
        <v>49.35</v>
      </c>
      <c r="G623" s="11"/>
      <c r="H623" t="s">
        <v>383</v>
      </c>
      <c r="I623" t="s">
        <v>383</v>
      </c>
      <c r="J623" t="s">
        <v>383</v>
      </c>
      <c r="K623">
        <v>0</v>
      </c>
      <c r="L623">
        <v>25</v>
      </c>
      <c r="M623" t="s">
        <v>227</v>
      </c>
      <c r="N623" s="6" t="s">
        <v>2495</v>
      </c>
      <c r="R623">
        <v>0</v>
      </c>
      <c r="S623">
        <v>25</v>
      </c>
      <c r="T623" t="s">
        <v>1970</v>
      </c>
      <c r="U623" t="s">
        <v>2009</v>
      </c>
      <c r="V623" t="s">
        <v>2024</v>
      </c>
      <c r="W623" t="s">
        <v>2015</v>
      </c>
      <c r="X623" t="s">
        <v>3047</v>
      </c>
    </row>
    <row r="624" spans="1:24" x14ac:dyDescent="0.3">
      <c r="A624" t="s">
        <v>1202</v>
      </c>
      <c r="B624" t="s">
        <v>358</v>
      </c>
      <c r="D624">
        <v>38.869999999999997</v>
      </c>
      <c r="E624">
        <v>10411</v>
      </c>
      <c r="F624">
        <v>52.94</v>
      </c>
      <c r="G624" s="8" t="s">
        <v>2152</v>
      </c>
      <c r="H624" t="s">
        <v>383</v>
      </c>
      <c r="I624" t="s">
        <v>383</v>
      </c>
      <c r="J624" t="s">
        <v>383</v>
      </c>
      <c r="K624">
        <v>7</v>
      </c>
      <c r="L624">
        <v>35</v>
      </c>
      <c r="M624" t="s">
        <v>226</v>
      </c>
      <c r="N624" s="6" t="s">
        <v>2496</v>
      </c>
      <c r="R624">
        <v>7</v>
      </c>
      <c r="S624">
        <v>35</v>
      </c>
      <c r="T624" t="s">
        <v>1971</v>
      </c>
      <c r="U624" t="s">
        <v>2009</v>
      </c>
      <c r="V624" t="s">
        <v>2024</v>
      </c>
      <c r="W624" t="s">
        <v>2016</v>
      </c>
      <c r="X624" t="s">
        <v>2039</v>
      </c>
    </row>
    <row r="625" spans="1:24" x14ac:dyDescent="0.3">
      <c r="A625" t="s">
        <v>918</v>
      </c>
      <c r="B625" t="s">
        <v>534</v>
      </c>
      <c r="C625" t="s">
        <v>535</v>
      </c>
      <c r="D625">
        <v>9.5233000000000008</v>
      </c>
      <c r="F625">
        <v>47.5</v>
      </c>
      <c r="G625" s="11"/>
      <c r="H625" t="s">
        <v>383</v>
      </c>
      <c r="I625" t="s">
        <v>383</v>
      </c>
      <c r="J625" t="s">
        <v>383</v>
      </c>
      <c r="K625">
        <v>2.8</v>
      </c>
      <c r="L625">
        <v>37</v>
      </c>
      <c r="M625" t="s">
        <v>227</v>
      </c>
      <c r="N625" s="6" t="s">
        <v>2291</v>
      </c>
      <c r="R625">
        <v>2.8</v>
      </c>
      <c r="S625">
        <v>37</v>
      </c>
      <c r="T625" t="s">
        <v>1972</v>
      </c>
      <c r="U625" t="s">
        <v>2009</v>
      </c>
      <c r="V625" t="s">
        <v>2024</v>
      </c>
      <c r="W625" t="s">
        <v>2016</v>
      </c>
      <c r="X625" t="s">
        <v>3045</v>
      </c>
    </row>
    <row r="626" spans="1:24" x14ac:dyDescent="0.3">
      <c r="A626" t="s">
        <v>1656</v>
      </c>
      <c r="B626" t="s">
        <v>3863</v>
      </c>
      <c r="C626" t="s">
        <v>2032</v>
      </c>
      <c r="D626">
        <v>38.700000000000003</v>
      </c>
      <c r="E626">
        <v>12309</v>
      </c>
      <c r="F626">
        <v>50.5</v>
      </c>
      <c r="G626" s="8" t="s">
        <v>2153</v>
      </c>
      <c r="H626" t="s">
        <v>383</v>
      </c>
      <c r="I626" t="s">
        <v>383</v>
      </c>
      <c r="J626" t="s">
        <v>383</v>
      </c>
      <c r="M626" t="s">
        <v>1691</v>
      </c>
      <c r="N626" s="6" t="s">
        <v>2168</v>
      </c>
      <c r="O626">
        <v>0</v>
      </c>
      <c r="P626">
        <v>37</v>
      </c>
      <c r="Q626">
        <v>6</v>
      </c>
      <c r="R626">
        <v>0</v>
      </c>
      <c r="S626">
        <v>37</v>
      </c>
      <c r="T626" t="s">
        <v>2033</v>
      </c>
      <c r="U626" t="s">
        <v>2009</v>
      </c>
      <c r="V626" t="s">
        <v>2024</v>
      </c>
      <c r="W626" t="s">
        <v>2016</v>
      </c>
      <c r="X626" t="s">
        <v>3045</v>
      </c>
    </row>
    <row r="627" spans="1:24" x14ac:dyDescent="0.3">
      <c r="A627" t="s">
        <v>1658</v>
      </c>
      <c r="B627" t="s">
        <v>3864</v>
      </c>
      <c r="D627">
        <v>54.6</v>
      </c>
      <c r="E627">
        <v>13027</v>
      </c>
      <c r="F627">
        <v>51.5</v>
      </c>
      <c r="G627" s="11"/>
      <c r="H627" t="s">
        <v>383</v>
      </c>
      <c r="I627" t="s">
        <v>383</v>
      </c>
      <c r="J627" t="s">
        <v>383</v>
      </c>
      <c r="M627" t="s">
        <v>1691</v>
      </c>
      <c r="N627" s="6" t="s">
        <v>2168</v>
      </c>
      <c r="O627">
        <v>10</v>
      </c>
      <c r="P627">
        <v>40</v>
      </c>
      <c r="Q627">
        <v>24</v>
      </c>
      <c r="R627">
        <v>10</v>
      </c>
      <c r="S627">
        <v>40</v>
      </c>
      <c r="T627" t="s">
        <v>1973</v>
      </c>
      <c r="U627" t="s">
        <v>2009</v>
      </c>
      <c r="V627" t="s">
        <v>2024</v>
      </c>
      <c r="W627" t="s">
        <v>2016</v>
      </c>
      <c r="X627" t="s">
        <v>2039</v>
      </c>
    </row>
    <row r="628" spans="1:24" x14ac:dyDescent="0.3">
      <c r="A628" t="s">
        <v>1203</v>
      </c>
      <c r="B628" t="s">
        <v>47</v>
      </c>
      <c r="D628">
        <v>46.511600000000001</v>
      </c>
      <c r="E628">
        <v>14072</v>
      </c>
      <c r="F628">
        <v>51.3</v>
      </c>
      <c r="G628" s="11"/>
      <c r="H628" t="s">
        <v>1746</v>
      </c>
      <c r="I628">
        <v>1613</v>
      </c>
      <c r="J628">
        <v>702429</v>
      </c>
      <c r="K628">
        <v>4</v>
      </c>
      <c r="L628">
        <v>38</v>
      </c>
      <c r="M628" t="s">
        <v>228</v>
      </c>
      <c r="N628" s="6" t="s">
        <v>2305</v>
      </c>
      <c r="O628">
        <v>3</v>
      </c>
      <c r="P628">
        <v>35</v>
      </c>
      <c r="Q628">
        <v>8</v>
      </c>
      <c r="R628">
        <v>3</v>
      </c>
      <c r="S628">
        <v>38</v>
      </c>
      <c r="T628" t="s">
        <v>1974</v>
      </c>
      <c r="U628" t="s">
        <v>2009</v>
      </c>
      <c r="V628" t="s">
        <v>2024</v>
      </c>
      <c r="W628" t="s">
        <v>2015</v>
      </c>
      <c r="X628" t="s">
        <v>3039</v>
      </c>
    </row>
    <row r="629" spans="1:24" x14ac:dyDescent="0.3">
      <c r="A629" t="s">
        <v>1660</v>
      </c>
      <c r="B629" t="s">
        <v>3865</v>
      </c>
      <c r="C629" t="s">
        <v>1719</v>
      </c>
      <c r="D629">
        <v>29.9</v>
      </c>
      <c r="E629">
        <v>10901</v>
      </c>
      <c r="G629" s="8" t="s">
        <v>2154</v>
      </c>
      <c r="H629" t="s">
        <v>383</v>
      </c>
      <c r="I629" t="s">
        <v>383</v>
      </c>
      <c r="J629" t="s">
        <v>383</v>
      </c>
      <c r="M629" t="s">
        <v>1691</v>
      </c>
      <c r="N629" s="6" t="s">
        <v>2168</v>
      </c>
      <c r="O629">
        <v>4</v>
      </c>
      <c r="P629">
        <v>37.5</v>
      </c>
      <c r="Q629">
        <v>3</v>
      </c>
      <c r="R629">
        <v>4</v>
      </c>
      <c r="S629">
        <v>37.5</v>
      </c>
      <c r="T629" t="s">
        <v>1975</v>
      </c>
      <c r="U629" t="s">
        <v>2009</v>
      </c>
      <c r="V629" t="s">
        <v>2024</v>
      </c>
      <c r="W629" t="s">
        <v>2016</v>
      </c>
      <c r="X629" t="s">
        <v>2039</v>
      </c>
    </row>
    <row r="630" spans="1:24" x14ac:dyDescent="0.3">
      <c r="A630" t="s">
        <v>1662</v>
      </c>
      <c r="B630" t="s">
        <v>3866</v>
      </c>
      <c r="D630">
        <v>55.7</v>
      </c>
      <c r="E630">
        <v>11003</v>
      </c>
      <c r="F630">
        <v>36</v>
      </c>
      <c r="G630" s="11"/>
      <c r="H630" t="s">
        <v>340</v>
      </c>
      <c r="I630">
        <v>11107</v>
      </c>
      <c r="J630">
        <v>5410569</v>
      </c>
      <c r="M630" t="s">
        <v>1691</v>
      </c>
      <c r="N630" s="6" t="s">
        <v>2168</v>
      </c>
      <c r="O630">
        <v>5</v>
      </c>
      <c r="P630">
        <v>29</v>
      </c>
      <c r="Q630">
        <v>23</v>
      </c>
      <c r="R630">
        <v>5</v>
      </c>
      <c r="S630">
        <v>29</v>
      </c>
      <c r="T630" t="s">
        <v>1976</v>
      </c>
      <c r="U630" t="s">
        <v>2009</v>
      </c>
      <c r="V630" t="s">
        <v>2024</v>
      </c>
      <c r="W630" t="s">
        <v>2016</v>
      </c>
      <c r="X630" t="s">
        <v>2039</v>
      </c>
    </row>
    <row r="631" spans="1:24" x14ac:dyDescent="0.3">
      <c r="A631" t="s">
        <v>1204</v>
      </c>
      <c r="B631" t="s">
        <v>326</v>
      </c>
      <c r="D631">
        <v>49.5</v>
      </c>
      <c r="E631">
        <v>17683</v>
      </c>
      <c r="F631">
        <v>47.73</v>
      </c>
      <c r="G631" s="8" t="s">
        <v>2058</v>
      </c>
      <c r="H631" t="s">
        <v>3707</v>
      </c>
      <c r="I631">
        <v>17978</v>
      </c>
      <c r="J631">
        <v>8061519</v>
      </c>
      <c r="K631">
        <v>10</v>
      </c>
      <c r="L631">
        <v>34</v>
      </c>
      <c r="M631" t="s">
        <v>226</v>
      </c>
      <c r="N631" s="6" t="s">
        <v>2497</v>
      </c>
      <c r="R631">
        <v>10</v>
      </c>
      <c r="S631">
        <v>34</v>
      </c>
      <c r="T631" t="s">
        <v>1977</v>
      </c>
      <c r="U631" t="s">
        <v>2009</v>
      </c>
      <c r="V631" t="s">
        <v>2024</v>
      </c>
      <c r="W631" t="s">
        <v>2015</v>
      </c>
      <c r="X631" t="s">
        <v>3039</v>
      </c>
    </row>
    <row r="632" spans="1:24" x14ac:dyDescent="0.3">
      <c r="A632" t="s">
        <v>893</v>
      </c>
      <c r="B632" t="s">
        <v>442</v>
      </c>
      <c r="C632" t="s">
        <v>443</v>
      </c>
      <c r="D632">
        <v>14.7814</v>
      </c>
      <c r="F632">
        <v>45.7</v>
      </c>
      <c r="G632" s="11"/>
      <c r="H632" t="s">
        <v>383</v>
      </c>
      <c r="I632" t="s">
        <v>383</v>
      </c>
      <c r="J632" t="s">
        <v>383</v>
      </c>
      <c r="K632">
        <v>0</v>
      </c>
      <c r="L632">
        <v>35</v>
      </c>
      <c r="M632" t="s">
        <v>227</v>
      </c>
      <c r="N632" s="6" t="s">
        <v>2234</v>
      </c>
      <c r="R632">
        <v>0</v>
      </c>
      <c r="S632">
        <v>35</v>
      </c>
      <c r="T632" t="s">
        <v>1978</v>
      </c>
      <c r="U632" t="s">
        <v>2009</v>
      </c>
      <c r="V632" t="s">
        <v>2024</v>
      </c>
      <c r="W632" t="s">
        <v>2016</v>
      </c>
      <c r="X632" t="s">
        <v>3045</v>
      </c>
    </row>
    <row r="633" spans="1:24" x14ac:dyDescent="0.3">
      <c r="A633" t="s">
        <v>894</v>
      </c>
      <c r="B633" t="s">
        <v>444</v>
      </c>
      <c r="C633" t="s">
        <v>445</v>
      </c>
      <c r="D633">
        <v>13.9879</v>
      </c>
      <c r="F633">
        <v>41.2</v>
      </c>
      <c r="G633" s="11"/>
      <c r="H633" t="s">
        <v>383</v>
      </c>
      <c r="I633" t="s">
        <v>383</v>
      </c>
      <c r="J633" t="s">
        <v>383</v>
      </c>
      <c r="K633">
        <v>0</v>
      </c>
      <c r="L633">
        <v>35</v>
      </c>
      <c r="M633" t="s">
        <v>227</v>
      </c>
      <c r="N633" s="6" t="s">
        <v>2234</v>
      </c>
      <c r="R633">
        <v>0</v>
      </c>
      <c r="S633">
        <v>35</v>
      </c>
      <c r="T633" t="s">
        <v>1978</v>
      </c>
      <c r="U633" t="s">
        <v>2009</v>
      </c>
      <c r="V633" t="s">
        <v>2024</v>
      </c>
      <c r="W633" t="s">
        <v>2016</v>
      </c>
      <c r="X633" t="s">
        <v>3045</v>
      </c>
    </row>
    <row r="634" spans="1:24" x14ac:dyDescent="0.3">
      <c r="A634" t="s">
        <v>895</v>
      </c>
      <c r="B634" t="s">
        <v>446</v>
      </c>
      <c r="D634">
        <v>16.0762</v>
      </c>
      <c r="F634">
        <v>23.9</v>
      </c>
      <c r="G634" s="11"/>
      <c r="H634" t="s">
        <v>383</v>
      </c>
      <c r="I634" t="s">
        <v>383</v>
      </c>
      <c r="J634" t="s">
        <v>383</v>
      </c>
      <c r="K634">
        <v>0</v>
      </c>
      <c r="L634">
        <v>35</v>
      </c>
      <c r="M634" t="s">
        <v>227</v>
      </c>
      <c r="N634" s="6" t="s">
        <v>2234</v>
      </c>
      <c r="R634">
        <v>0</v>
      </c>
      <c r="S634">
        <v>35</v>
      </c>
      <c r="T634" t="s">
        <v>1978</v>
      </c>
      <c r="U634" t="s">
        <v>2009</v>
      </c>
      <c r="V634" t="s">
        <v>2024</v>
      </c>
      <c r="W634" t="s">
        <v>2016</v>
      </c>
      <c r="X634" t="s">
        <v>3045</v>
      </c>
    </row>
    <row r="635" spans="1:24" x14ac:dyDescent="0.3">
      <c r="A635" t="s">
        <v>896</v>
      </c>
      <c r="B635" t="s">
        <v>433</v>
      </c>
      <c r="C635" t="s">
        <v>447</v>
      </c>
      <c r="D635">
        <v>11.547700000000001</v>
      </c>
      <c r="F635">
        <v>47.2</v>
      </c>
      <c r="G635" s="11"/>
      <c r="H635" t="s">
        <v>383</v>
      </c>
      <c r="I635" t="s">
        <v>383</v>
      </c>
      <c r="J635" t="s">
        <v>383</v>
      </c>
      <c r="K635">
        <v>0</v>
      </c>
      <c r="L635">
        <v>40</v>
      </c>
      <c r="M635" t="s">
        <v>227</v>
      </c>
      <c r="N635" s="6" t="s">
        <v>2498</v>
      </c>
      <c r="R635">
        <v>0</v>
      </c>
      <c r="S635">
        <v>40</v>
      </c>
      <c r="T635" t="s">
        <v>1978</v>
      </c>
      <c r="U635" t="s">
        <v>2009</v>
      </c>
      <c r="V635" t="s">
        <v>2024</v>
      </c>
      <c r="W635" t="s">
        <v>2016</v>
      </c>
      <c r="X635" t="s">
        <v>3045</v>
      </c>
    </row>
    <row r="636" spans="1:24" x14ac:dyDescent="0.3">
      <c r="A636" t="s">
        <v>900</v>
      </c>
      <c r="B636" t="s">
        <v>453</v>
      </c>
      <c r="C636" t="s">
        <v>454</v>
      </c>
      <c r="D636">
        <v>13.517200000000001</v>
      </c>
      <c r="F636">
        <v>40.799999999999997</v>
      </c>
      <c r="G636" s="11"/>
      <c r="H636" t="s">
        <v>383</v>
      </c>
      <c r="I636" t="s">
        <v>383</v>
      </c>
      <c r="J636" t="s">
        <v>383</v>
      </c>
      <c r="K636">
        <v>0</v>
      </c>
      <c r="L636">
        <v>40</v>
      </c>
      <c r="M636" t="s">
        <v>227</v>
      </c>
      <c r="N636" s="6" t="s">
        <v>2234</v>
      </c>
      <c r="R636">
        <v>0</v>
      </c>
      <c r="S636">
        <v>40</v>
      </c>
      <c r="T636" t="s">
        <v>1978</v>
      </c>
      <c r="U636" t="s">
        <v>2009</v>
      </c>
      <c r="V636" t="s">
        <v>2024</v>
      </c>
      <c r="W636" t="s">
        <v>2016</v>
      </c>
      <c r="X636" t="s">
        <v>3045</v>
      </c>
    </row>
    <row r="637" spans="1:24" x14ac:dyDescent="0.3">
      <c r="A637" t="s">
        <v>903</v>
      </c>
      <c r="B637" t="s">
        <v>458</v>
      </c>
      <c r="C637" t="s">
        <v>459</v>
      </c>
      <c r="D637">
        <v>13.2227</v>
      </c>
      <c r="F637">
        <v>43.2</v>
      </c>
      <c r="G637" s="11"/>
      <c r="H637" t="s">
        <v>383</v>
      </c>
      <c r="I637" t="s">
        <v>383</v>
      </c>
      <c r="J637" t="s">
        <v>383</v>
      </c>
      <c r="K637">
        <v>0</v>
      </c>
      <c r="L637">
        <v>35</v>
      </c>
      <c r="M637" t="s">
        <v>227</v>
      </c>
      <c r="N637" s="6" t="s">
        <v>2234</v>
      </c>
      <c r="R637">
        <v>0</v>
      </c>
      <c r="S637">
        <v>35</v>
      </c>
      <c r="T637" t="s">
        <v>1978</v>
      </c>
      <c r="U637" t="s">
        <v>2009</v>
      </c>
      <c r="V637" t="s">
        <v>2024</v>
      </c>
      <c r="W637" t="s">
        <v>2016</v>
      </c>
      <c r="X637" t="s">
        <v>3045</v>
      </c>
    </row>
    <row r="638" spans="1:24" x14ac:dyDescent="0.3">
      <c r="A638" t="s">
        <v>905</v>
      </c>
      <c r="B638" t="s">
        <v>462</v>
      </c>
      <c r="C638" t="s">
        <v>463</v>
      </c>
      <c r="D638">
        <v>13.69</v>
      </c>
      <c r="F638">
        <v>46</v>
      </c>
      <c r="G638" s="11"/>
      <c r="H638" t="s">
        <v>383</v>
      </c>
      <c r="I638" t="s">
        <v>383</v>
      </c>
      <c r="J638" t="s">
        <v>383</v>
      </c>
      <c r="K638">
        <v>0</v>
      </c>
      <c r="L638">
        <v>35</v>
      </c>
      <c r="M638" t="s">
        <v>227</v>
      </c>
      <c r="N638" s="6" t="s">
        <v>2234</v>
      </c>
      <c r="R638">
        <v>0</v>
      </c>
      <c r="S638">
        <v>35</v>
      </c>
      <c r="T638" t="s">
        <v>1978</v>
      </c>
      <c r="U638" t="s">
        <v>2009</v>
      </c>
      <c r="V638" t="s">
        <v>2024</v>
      </c>
      <c r="W638" t="s">
        <v>2016</v>
      </c>
      <c r="X638" t="s">
        <v>3045</v>
      </c>
    </row>
    <row r="639" spans="1:24" x14ac:dyDescent="0.3">
      <c r="A639" t="s">
        <v>912</v>
      </c>
      <c r="B639" t="s">
        <v>471</v>
      </c>
      <c r="C639" t="s">
        <v>472</v>
      </c>
      <c r="D639">
        <v>13.9702</v>
      </c>
      <c r="F639">
        <v>46</v>
      </c>
      <c r="G639" s="11"/>
      <c r="H639" t="s">
        <v>383</v>
      </c>
      <c r="I639" t="s">
        <v>383</v>
      </c>
      <c r="J639" t="s">
        <v>383</v>
      </c>
      <c r="K639">
        <v>0</v>
      </c>
      <c r="L639">
        <v>35</v>
      </c>
      <c r="M639" t="s">
        <v>227</v>
      </c>
      <c r="N639" s="6" t="s">
        <v>2234</v>
      </c>
      <c r="R639">
        <v>0</v>
      </c>
      <c r="S639">
        <v>35</v>
      </c>
      <c r="T639" t="s">
        <v>1978</v>
      </c>
      <c r="U639" t="s">
        <v>2009</v>
      </c>
      <c r="V639" t="s">
        <v>2024</v>
      </c>
      <c r="W639" t="s">
        <v>2016</v>
      </c>
      <c r="X639" t="s">
        <v>3045</v>
      </c>
    </row>
    <row r="640" spans="1:24" x14ac:dyDescent="0.3">
      <c r="A640" t="s">
        <v>921</v>
      </c>
      <c r="B640" t="s">
        <v>479</v>
      </c>
      <c r="C640" t="s">
        <v>480</v>
      </c>
      <c r="D640">
        <v>14.61</v>
      </c>
      <c r="F640">
        <v>43.3</v>
      </c>
      <c r="G640" s="11"/>
      <c r="H640" t="s">
        <v>383</v>
      </c>
      <c r="I640" t="s">
        <v>383</v>
      </c>
      <c r="J640" t="s">
        <v>383</v>
      </c>
      <c r="K640">
        <v>0</v>
      </c>
      <c r="L640">
        <v>35</v>
      </c>
      <c r="M640" t="s">
        <v>227</v>
      </c>
      <c r="N640" s="6" t="s">
        <v>2234</v>
      </c>
      <c r="R640">
        <v>0</v>
      </c>
      <c r="S640">
        <v>35</v>
      </c>
      <c r="T640" t="s">
        <v>1978</v>
      </c>
      <c r="U640" t="s">
        <v>2009</v>
      </c>
      <c r="V640" t="s">
        <v>2024</v>
      </c>
      <c r="W640" t="s">
        <v>2016</v>
      </c>
      <c r="X640" t="s">
        <v>3045</v>
      </c>
    </row>
    <row r="641" spans="1:28" x14ac:dyDescent="0.3">
      <c r="A641" t="s">
        <v>925</v>
      </c>
      <c r="B641" t="s">
        <v>483</v>
      </c>
      <c r="C641" t="s">
        <v>484</v>
      </c>
      <c r="D641">
        <v>13.5061</v>
      </c>
      <c r="F641">
        <v>41</v>
      </c>
      <c r="G641" s="11"/>
      <c r="H641" t="s">
        <v>383</v>
      </c>
      <c r="I641" t="s">
        <v>383</v>
      </c>
      <c r="J641" t="s">
        <v>383</v>
      </c>
      <c r="K641">
        <v>0</v>
      </c>
      <c r="L641">
        <v>35</v>
      </c>
      <c r="M641" t="s">
        <v>227</v>
      </c>
      <c r="N641" s="6" t="s">
        <v>2234</v>
      </c>
      <c r="R641">
        <v>0</v>
      </c>
      <c r="S641">
        <v>35</v>
      </c>
      <c r="T641" t="s">
        <v>1978</v>
      </c>
      <c r="U641" t="s">
        <v>2009</v>
      </c>
      <c r="V641" t="s">
        <v>2024</v>
      </c>
      <c r="W641" t="s">
        <v>2016</v>
      </c>
      <c r="X641" t="s">
        <v>3045</v>
      </c>
    </row>
    <row r="642" spans="1:28" x14ac:dyDescent="0.3">
      <c r="A642" t="s">
        <v>926</v>
      </c>
      <c r="B642" t="s">
        <v>485</v>
      </c>
      <c r="C642" t="s">
        <v>486</v>
      </c>
      <c r="D642">
        <v>13.1297</v>
      </c>
      <c r="F642">
        <v>44.2</v>
      </c>
      <c r="G642" s="11"/>
      <c r="H642" t="s">
        <v>383</v>
      </c>
      <c r="I642" t="s">
        <v>383</v>
      </c>
      <c r="J642" t="s">
        <v>383</v>
      </c>
      <c r="K642">
        <v>0</v>
      </c>
      <c r="L642">
        <v>35</v>
      </c>
      <c r="M642" t="s">
        <v>227</v>
      </c>
      <c r="N642" s="6" t="s">
        <v>2234</v>
      </c>
      <c r="R642">
        <v>0</v>
      </c>
      <c r="S642">
        <v>35</v>
      </c>
      <c r="T642" t="s">
        <v>1978</v>
      </c>
      <c r="U642" t="s">
        <v>2009</v>
      </c>
      <c r="V642" t="s">
        <v>2024</v>
      </c>
      <c r="W642" t="s">
        <v>2016</v>
      </c>
      <c r="X642" t="s">
        <v>3045</v>
      </c>
    </row>
    <row r="643" spans="1:28" x14ac:dyDescent="0.3">
      <c r="A643" t="s">
        <v>1295</v>
      </c>
      <c r="B643" t="s">
        <v>798</v>
      </c>
      <c r="C643" t="s">
        <v>1720</v>
      </c>
      <c r="D643">
        <v>46.838000000000001</v>
      </c>
      <c r="E643">
        <v>15530</v>
      </c>
      <c r="F643">
        <v>48.48</v>
      </c>
      <c r="G643" s="11"/>
      <c r="H643" t="s">
        <v>340</v>
      </c>
      <c r="I643">
        <v>15528</v>
      </c>
      <c r="J643">
        <v>6527791</v>
      </c>
      <c r="K643">
        <v>8</v>
      </c>
      <c r="L643">
        <v>31</v>
      </c>
      <c r="M643" t="s">
        <v>226</v>
      </c>
      <c r="N643" s="6" t="s">
        <v>2339</v>
      </c>
      <c r="R643">
        <v>8</v>
      </c>
      <c r="S643">
        <v>31</v>
      </c>
      <c r="T643" t="s">
        <v>394</v>
      </c>
      <c r="U643" t="s">
        <v>2009</v>
      </c>
      <c r="V643" t="s">
        <v>2024</v>
      </c>
      <c r="W643" t="s">
        <v>2015</v>
      </c>
      <c r="X643" t="s">
        <v>3039</v>
      </c>
    </row>
    <row r="644" spans="1:28" x14ac:dyDescent="0.3">
      <c r="A644" t="s">
        <v>1293</v>
      </c>
      <c r="B644" t="s">
        <v>382</v>
      </c>
      <c r="D644">
        <f>AVERAGE(44.486,39.232)</f>
        <v>41.858999999999995</v>
      </c>
      <c r="E644">
        <f>AVERAGE(16588,13348)</f>
        <v>14968</v>
      </c>
      <c r="F644">
        <v>48</v>
      </c>
      <c r="G644" s="11"/>
      <c r="H644" t="s">
        <v>1746</v>
      </c>
      <c r="I644">
        <v>18271</v>
      </c>
      <c r="J644">
        <v>5968737</v>
      </c>
      <c r="K644">
        <v>8</v>
      </c>
      <c r="L644">
        <v>31</v>
      </c>
      <c r="M644" t="s">
        <v>226</v>
      </c>
      <c r="N644" s="6" t="s">
        <v>2339</v>
      </c>
      <c r="R644">
        <v>8</v>
      </c>
      <c r="S644">
        <v>31</v>
      </c>
      <c r="T644" t="s">
        <v>394</v>
      </c>
      <c r="U644" t="s">
        <v>2009</v>
      </c>
      <c r="V644" t="s">
        <v>2024</v>
      </c>
      <c r="W644" t="s">
        <v>2015</v>
      </c>
      <c r="X644" t="s">
        <v>3039</v>
      </c>
    </row>
    <row r="645" spans="1:28" ht="15.6" customHeight="1" x14ac:dyDescent="0.3">
      <c r="A645" t="s">
        <v>1205</v>
      </c>
      <c r="B645" t="s">
        <v>421</v>
      </c>
      <c r="D645">
        <v>48.707000000000001</v>
      </c>
      <c r="E645">
        <v>14249</v>
      </c>
      <c r="F645">
        <v>46.73</v>
      </c>
      <c r="G645" s="11"/>
      <c r="H645" t="s">
        <v>3707</v>
      </c>
      <c r="I645">
        <v>14249</v>
      </c>
      <c r="J645">
        <v>5736162</v>
      </c>
      <c r="K645">
        <v>4</v>
      </c>
      <c r="L645">
        <v>33</v>
      </c>
      <c r="M645" t="s">
        <v>226</v>
      </c>
      <c r="N645" s="6" t="s">
        <v>2176</v>
      </c>
      <c r="R645">
        <v>4</v>
      </c>
      <c r="S645">
        <v>33</v>
      </c>
      <c r="T645" t="s">
        <v>394</v>
      </c>
      <c r="U645" t="s">
        <v>2009</v>
      </c>
      <c r="V645" t="s">
        <v>2024</v>
      </c>
      <c r="W645" t="s">
        <v>2015</v>
      </c>
      <c r="X645" t="s">
        <v>3039</v>
      </c>
    </row>
    <row r="646" spans="1:28" x14ac:dyDescent="0.3">
      <c r="A646" t="s">
        <v>1387</v>
      </c>
      <c r="B646" t="s">
        <v>3867</v>
      </c>
      <c r="D646">
        <v>21.5</v>
      </c>
      <c r="E646">
        <v>8031</v>
      </c>
      <c r="F646">
        <v>47</v>
      </c>
      <c r="G646" s="11"/>
      <c r="H646" t="s">
        <v>1746</v>
      </c>
      <c r="I646">
        <v>7895</v>
      </c>
      <c r="J646">
        <v>3746747</v>
      </c>
      <c r="M646" t="s">
        <v>1691</v>
      </c>
      <c r="N646" s="6" t="s">
        <v>2168</v>
      </c>
      <c r="O646">
        <v>0</v>
      </c>
      <c r="P646">
        <v>30</v>
      </c>
      <c r="Q646">
        <v>18</v>
      </c>
      <c r="R646">
        <v>0</v>
      </c>
      <c r="S646">
        <v>30</v>
      </c>
      <c r="T646" t="s">
        <v>664</v>
      </c>
      <c r="U646" t="s">
        <v>2009</v>
      </c>
      <c r="V646" t="s">
        <v>2023</v>
      </c>
      <c r="W646" t="s">
        <v>2022</v>
      </c>
    </row>
    <row r="647" spans="1:28" x14ac:dyDescent="0.3">
      <c r="A647" t="s">
        <v>1665</v>
      </c>
      <c r="B647" t="s">
        <v>3868</v>
      </c>
      <c r="D647">
        <v>26.154</v>
      </c>
      <c r="E647">
        <v>10698</v>
      </c>
      <c r="F647">
        <v>34.19</v>
      </c>
      <c r="G647" s="11"/>
      <c r="H647" t="s">
        <v>3707</v>
      </c>
      <c r="I647">
        <v>10698</v>
      </c>
      <c r="J647">
        <v>4609104</v>
      </c>
      <c r="M647" t="s">
        <v>1691</v>
      </c>
      <c r="N647" s="6" t="s">
        <v>2168</v>
      </c>
      <c r="O647">
        <v>5</v>
      </c>
      <c r="P647">
        <v>30</v>
      </c>
      <c r="Q647">
        <v>3</v>
      </c>
      <c r="R647">
        <v>5</v>
      </c>
      <c r="S647">
        <v>30</v>
      </c>
      <c r="T647" t="s">
        <v>1979</v>
      </c>
      <c r="U647" t="s">
        <v>2009</v>
      </c>
      <c r="V647" t="s">
        <v>2023</v>
      </c>
      <c r="W647" t="s">
        <v>2014</v>
      </c>
      <c r="X647" t="s">
        <v>3037</v>
      </c>
      <c r="AA647" t="s">
        <v>3034</v>
      </c>
      <c r="AB647" t="s">
        <v>2042</v>
      </c>
    </row>
    <row r="648" spans="1:28" x14ac:dyDescent="0.3">
      <c r="A648" t="s">
        <v>1388</v>
      </c>
      <c r="B648" t="s">
        <v>730</v>
      </c>
      <c r="D648">
        <v>33.700000000000003</v>
      </c>
      <c r="E648">
        <v>10404</v>
      </c>
      <c r="F648">
        <v>46.5</v>
      </c>
      <c r="G648" s="11"/>
      <c r="H648" t="s">
        <v>1746</v>
      </c>
      <c r="I648">
        <v>10407</v>
      </c>
      <c r="J648">
        <v>5668149</v>
      </c>
      <c r="K648">
        <v>7</v>
      </c>
      <c r="L648">
        <v>42</v>
      </c>
      <c r="M648" t="s">
        <v>226</v>
      </c>
      <c r="N648" s="6" t="s">
        <v>2499</v>
      </c>
      <c r="R648">
        <v>7</v>
      </c>
      <c r="S648">
        <v>42</v>
      </c>
      <c r="T648" t="s">
        <v>395</v>
      </c>
      <c r="U648" t="s">
        <v>2009</v>
      </c>
      <c r="V648" t="s">
        <v>2024</v>
      </c>
      <c r="W648" t="s">
        <v>2016</v>
      </c>
      <c r="X648" t="s">
        <v>2039</v>
      </c>
      <c r="AB648" t="s">
        <v>2041</v>
      </c>
    </row>
    <row r="649" spans="1:28" x14ac:dyDescent="0.3">
      <c r="A649" t="s">
        <v>1114</v>
      </c>
      <c r="B649" t="s">
        <v>406</v>
      </c>
      <c r="D649">
        <v>28.528199999999998</v>
      </c>
      <c r="F649">
        <v>46.5</v>
      </c>
      <c r="G649" s="11"/>
      <c r="H649" t="s">
        <v>383</v>
      </c>
      <c r="I649" t="s">
        <v>383</v>
      </c>
      <c r="J649" t="s">
        <v>383</v>
      </c>
      <c r="K649">
        <v>8</v>
      </c>
      <c r="L649">
        <v>43</v>
      </c>
      <c r="M649" t="s">
        <v>226</v>
      </c>
      <c r="N649" s="6" t="s">
        <v>2374</v>
      </c>
      <c r="R649">
        <v>8</v>
      </c>
      <c r="S649">
        <v>43</v>
      </c>
      <c r="T649" t="s">
        <v>395</v>
      </c>
      <c r="U649" t="s">
        <v>2009</v>
      </c>
      <c r="V649" t="s">
        <v>2024</v>
      </c>
      <c r="W649" t="s">
        <v>2016</v>
      </c>
      <c r="X649" t="s">
        <v>2039</v>
      </c>
      <c r="AB649" t="s">
        <v>2047</v>
      </c>
    </row>
    <row r="650" spans="1:28" x14ac:dyDescent="0.3">
      <c r="A650" t="s">
        <v>1116</v>
      </c>
      <c r="B650" t="s">
        <v>517</v>
      </c>
      <c r="C650" t="s">
        <v>518</v>
      </c>
      <c r="D650">
        <v>34.716000000000001</v>
      </c>
      <c r="E650">
        <v>9927</v>
      </c>
      <c r="F650">
        <v>46.3</v>
      </c>
      <c r="G650" s="11"/>
      <c r="H650" t="s">
        <v>1746</v>
      </c>
      <c r="I650">
        <v>9928</v>
      </c>
      <c r="J650">
        <v>5349870</v>
      </c>
      <c r="K650">
        <v>10</v>
      </c>
      <c r="L650">
        <v>42</v>
      </c>
      <c r="M650" t="s">
        <v>227</v>
      </c>
      <c r="N650" s="6" t="s">
        <v>2329</v>
      </c>
      <c r="R650">
        <v>10</v>
      </c>
      <c r="S650">
        <v>42</v>
      </c>
      <c r="T650" t="s">
        <v>665</v>
      </c>
      <c r="U650" t="s">
        <v>2009</v>
      </c>
      <c r="V650" t="s">
        <v>2024</v>
      </c>
      <c r="W650" t="s">
        <v>2016</v>
      </c>
      <c r="X650" t="s">
        <v>2039</v>
      </c>
      <c r="AA650" t="s">
        <v>2037</v>
      </c>
      <c r="AB650" t="s">
        <v>0</v>
      </c>
    </row>
    <row r="651" spans="1:28" x14ac:dyDescent="0.3">
      <c r="A651" t="s">
        <v>1206</v>
      </c>
      <c r="B651" t="s">
        <v>65</v>
      </c>
      <c r="D651">
        <v>28.643999999999998</v>
      </c>
      <c r="E651">
        <v>10638</v>
      </c>
      <c r="F651">
        <v>46.721600000000002</v>
      </c>
      <c r="G651" s="11"/>
      <c r="H651" t="s">
        <v>1746</v>
      </c>
      <c r="I651">
        <v>10028</v>
      </c>
      <c r="J651">
        <v>5137183</v>
      </c>
      <c r="K651">
        <v>8</v>
      </c>
      <c r="L651">
        <v>39</v>
      </c>
      <c r="M651" t="s">
        <v>227</v>
      </c>
      <c r="N651" s="6" t="s">
        <v>2500</v>
      </c>
      <c r="R651">
        <v>8</v>
      </c>
      <c r="S651">
        <v>39</v>
      </c>
      <c r="T651" t="s">
        <v>395</v>
      </c>
      <c r="U651" t="s">
        <v>2009</v>
      </c>
      <c r="V651" t="s">
        <v>2024</v>
      </c>
      <c r="W651" t="s">
        <v>2016</v>
      </c>
      <c r="X651" t="s">
        <v>2039</v>
      </c>
      <c r="AB651" t="s">
        <v>1722</v>
      </c>
    </row>
    <row r="652" spans="1:28" x14ac:dyDescent="0.3">
      <c r="A652" t="s">
        <v>1120</v>
      </c>
      <c r="B652" t="s">
        <v>261</v>
      </c>
      <c r="C652" t="s">
        <v>339</v>
      </c>
      <c r="D652">
        <v>37.093299999999999</v>
      </c>
      <c r="E652">
        <v>10911</v>
      </c>
      <c r="F652">
        <v>46.5</v>
      </c>
      <c r="G652" s="11"/>
      <c r="H652" t="s">
        <v>340</v>
      </c>
      <c r="I652">
        <v>10912</v>
      </c>
      <c r="J652">
        <v>5753204</v>
      </c>
      <c r="K652">
        <v>8</v>
      </c>
      <c r="L652">
        <v>38</v>
      </c>
      <c r="M652" t="s">
        <v>226</v>
      </c>
      <c r="N652" s="6" t="s">
        <v>2501</v>
      </c>
      <c r="R652">
        <v>8</v>
      </c>
      <c r="S652">
        <v>38</v>
      </c>
      <c r="T652" t="s">
        <v>395</v>
      </c>
      <c r="U652" t="s">
        <v>2009</v>
      </c>
      <c r="V652" t="s">
        <v>2024</v>
      </c>
      <c r="W652" t="s">
        <v>2016</v>
      </c>
      <c r="X652" t="s">
        <v>2039</v>
      </c>
      <c r="AB652" t="s">
        <v>298</v>
      </c>
    </row>
    <row r="653" spans="1:28" x14ac:dyDescent="0.3">
      <c r="A653" t="s">
        <v>1667</v>
      </c>
      <c r="B653" t="s">
        <v>3869</v>
      </c>
      <c r="D653">
        <v>29.1</v>
      </c>
      <c r="E653">
        <v>9600</v>
      </c>
      <c r="F653">
        <v>45.5</v>
      </c>
      <c r="G653" s="8" t="s">
        <v>2155</v>
      </c>
      <c r="H653" t="s">
        <v>383</v>
      </c>
      <c r="I653" t="s">
        <v>383</v>
      </c>
      <c r="J653" t="s">
        <v>383</v>
      </c>
      <c r="M653" t="s">
        <v>1691</v>
      </c>
      <c r="N653" s="6" t="s">
        <v>2168</v>
      </c>
      <c r="O653">
        <v>15</v>
      </c>
      <c r="P653">
        <v>40</v>
      </c>
      <c r="Q653">
        <v>3</v>
      </c>
      <c r="R653">
        <v>15</v>
      </c>
      <c r="S653">
        <v>40</v>
      </c>
      <c r="T653" t="s">
        <v>395</v>
      </c>
      <c r="U653" t="s">
        <v>2009</v>
      </c>
      <c r="V653" t="s">
        <v>2024</v>
      </c>
      <c r="W653" t="s">
        <v>2016</v>
      </c>
      <c r="X653" t="s">
        <v>2039</v>
      </c>
      <c r="AB653" t="s">
        <v>2536</v>
      </c>
    </row>
    <row r="654" spans="1:28" x14ac:dyDescent="0.3">
      <c r="A654" t="s">
        <v>1207</v>
      </c>
      <c r="B654" t="s">
        <v>16</v>
      </c>
      <c r="D654">
        <v>35.685400000000001</v>
      </c>
      <c r="E654">
        <v>13252</v>
      </c>
      <c r="F654">
        <v>46.1</v>
      </c>
      <c r="G654" s="11"/>
      <c r="H654" t="s">
        <v>1746</v>
      </c>
      <c r="I654">
        <v>12468</v>
      </c>
      <c r="J654">
        <v>6051873</v>
      </c>
      <c r="K654">
        <v>7</v>
      </c>
      <c r="L654">
        <v>41</v>
      </c>
      <c r="M654" t="s">
        <v>226</v>
      </c>
      <c r="N654" s="6" t="s">
        <v>2502</v>
      </c>
      <c r="R654">
        <v>7</v>
      </c>
      <c r="S654">
        <v>41</v>
      </c>
      <c r="T654" t="s">
        <v>395</v>
      </c>
      <c r="U654" t="s">
        <v>2009</v>
      </c>
      <c r="V654" t="s">
        <v>2024</v>
      </c>
      <c r="W654" t="s">
        <v>2016</v>
      </c>
      <c r="X654" t="s">
        <v>2039</v>
      </c>
      <c r="AA654" t="s">
        <v>2038</v>
      </c>
      <c r="AB654" t="s">
        <v>2007</v>
      </c>
    </row>
    <row r="655" spans="1:28" x14ac:dyDescent="0.3">
      <c r="A655" t="s">
        <v>1389</v>
      </c>
      <c r="B655" t="s">
        <v>3870</v>
      </c>
      <c r="D655">
        <v>13.364000000000001</v>
      </c>
      <c r="E655">
        <v>4609</v>
      </c>
      <c r="F655">
        <v>49.5</v>
      </c>
      <c r="G655" s="11"/>
      <c r="H655" t="s">
        <v>1746</v>
      </c>
      <c r="I655">
        <v>4650</v>
      </c>
      <c r="J655">
        <v>2067968</v>
      </c>
      <c r="M655" t="s">
        <v>1691</v>
      </c>
      <c r="N655" s="6" t="s">
        <v>2168</v>
      </c>
      <c r="O655">
        <v>8.5</v>
      </c>
      <c r="P655">
        <v>28</v>
      </c>
      <c r="Q655">
        <v>5</v>
      </c>
      <c r="R655">
        <v>8.5</v>
      </c>
      <c r="S655">
        <v>28</v>
      </c>
      <c r="T655" t="s">
        <v>1980</v>
      </c>
      <c r="U655" t="s">
        <v>2009</v>
      </c>
      <c r="V655" t="s">
        <v>2024</v>
      </c>
      <c r="W655" t="s">
        <v>2016</v>
      </c>
      <c r="X655" t="s">
        <v>3052</v>
      </c>
      <c r="AB655" t="s">
        <v>1748</v>
      </c>
    </row>
    <row r="656" spans="1:28" ht="16.2" customHeight="1" x14ac:dyDescent="0.3">
      <c r="A656" t="s">
        <v>1208</v>
      </c>
      <c r="B656" t="s">
        <v>258</v>
      </c>
      <c r="C656" t="s">
        <v>359</v>
      </c>
      <c r="D656">
        <v>22.111000000000001</v>
      </c>
      <c r="F656">
        <v>58.5</v>
      </c>
      <c r="G656" s="11"/>
      <c r="H656" t="s">
        <v>383</v>
      </c>
      <c r="I656" t="s">
        <v>383</v>
      </c>
      <c r="J656" t="s">
        <v>383</v>
      </c>
      <c r="K656">
        <v>-3</v>
      </c>
      <c r="L656">
        <v>25</v>
      </c>
      <c r="M656" t="s">
        <v>227</v>
      </c>
      <c r="N656" s="6" t="s">
        <v>2287</v>
      </c>
      <c r="R656">
        <v>-3</v>
      </c>
      <c r="S656">
        <v>25</v>
      </c>
      <c r="T656" t="s">
        <v>1981</v>
      </c>
      <c r="U656" t="s">
        <v>2009</v>
      </c>
      <c r="V656" t="s">
        <v>2024</v>
      </c>
      <c r="W656" t="s">
        <v>2015</v>
      </c>
      <c r="X656" t="s">
        <v>3043</v>
      </c>
      <c r="AB656" t="s">
        <v>1749</v>
      </c>
    </row>
    <row r="657" spans="1:28" x14ac:dyDescent="0.3">
      <c r="A657" t="s">
        <v>887</v>
      </c>
      <c r="B657" t="s">
        <v>437</v>
      </c>
      <c r="C657" t="s">
        <v>438</v>
      </c>
      <c r="D657">
        <v>10.545299999999999</v>
      </c>
      <c r="F657">
        <v>43</v>
      </c>
      <c r="G657" s="11"/>
      <c r="H657" t="s">
        <v>383</v>
      </c>
      <c r="I657" t="s">
        <v>383</v>
      </c>
      <c r="J657" t="s">
        <v>383</v>
      </c>
      <c r="K657">
        <v>4</v>
      </c>
      <c r="L657">
        <v>35</v>
      </c>
      <c r="M657" t="s">
        <v>227</v>
      </c>
      <c r="N657" s="6" t="s">
        <v>2234</v>
      </c>
      <c r="R657">
        <v>4</v>
      </c>
      <c r="S657">
        <v>35</v>
      </c>
      <c r="T657" t="s">
        <v>1982</v>
      </c>
      <c r="U657" t="s">
        <v>2009</v>
      </c>
      <c r="V657" t="s">
        <v>2024</v>
      </c>
      <c r="W657" t="s">
        <v>2016</v>
      </c>
      <c r="X657" t="s">
        <v>3045</v>
      </c>
      <c r="AA657" t="s">
        <v>432</v>
      </c>
      <c r="AB657" t="s">
        <v>231</v>
      </c>
    </row>
    <row r="658" spans="1:28" x14ac:dyDescent="0.3">
      <c r="A658" t="s">
        <v>906</v>
      </c>
      <c r="B658" t="s">
        <v>464</v>
      </c>
      <c r="C658" t="s">
        <v>465</v>
      </c>
      <c r="D658">
        <v>10.326499999999999</v>
      </c>
      <c r="F658">
        <v>41.9</v>
      </c>
      <c r="G658" s="11"/>
      <c r="H658" t="s">
        <v>383</v>
      </c>
      <c r="I658" t="s">
        <v>383</v>
      </c>
      <c r="J658" t="s">
        <v>383</v>
      </c>
      <c r="K658">
        <v>0</v>
      </c>
      <c r="L658">
        <v>35</v>
      </c>
      <c r="M658" t="s">
        <v>227</v>
      </c>
      <c r="N658" s="6" t="s">
        <v>2234</v>
      </c>
      <c r="R658">
        <v>0</v>
      </c>
      <c r="S658">
        <v>35</v>
      </c>
      <c r="T658" t="s">
        <v>1982</v>
      </c>
      <c r="U658" t="s">
        <v>2009</v>
      </c>
      <c r="V658" t="s">
        <v>2024</v>
      </c>
      <c r="W658" t="s">
        <v>2016</v>
      </c>
      <c r="X658" t="s">
        <v>3045</v>
      </c>
      <c r="AB658" t="s">
        <v>232</v>
      </c>
    </row>
    <row r="659" spans="1:28" x14ac:dyDescent="0.3">
      <c r="A659" t="s">
        <v>910</v>
      </c>
      <c r="B659" t="s">
        <v>467</v>
      </c>
      <c r="C659" t="s">
        <v>468</v>
      </c>
      <c r="D659">
        <v>10.920500000000001</v>
      </c>
      <c r="F659">
        <v>42</v>
      </c>
      <c r="G659" s="11"/>
      <c r="H659" t="s">
        <v>383</v>
      </c>
      <c r="I659" t="s">
        <v>383</v>
      </c>
      <c r="J659" t="s">
        <v>383</v>
      </c>
      <c r="K659">
        <v>0</v>
      </c>
      <c r="L659">
        <v>35</v>
      </c>
      <c r="M659" t="s">
        <v>227</v>
      </c>
      <c r="N659" s="6" t="s">
        <v>2234</v>
      </c>
      <c r="R659">
        <v>0</v>
      </c>
      <c r="S659">
        <v>35</v>
      </c>
      <c r="T659" t="s">
        <v>1982</v>
      </c>
      <c r="U659" t="s">
        <v>2009</v>
      </c>
      <c r="V659" t="s">
        <v>2024</v>
      </c>
      <c r="W659" t="s">
        <v>2016</v>
      </c>
      <c r="X659" t="s">
        <v>3045</v>
      </c>
      <c r="AB659" t="s">
        <v>207</v>
      </c>
    </row>
    <row r="660" spans="1:28" ht="17.399999999999999" customHeight="1" x14ac:dyDescent="0.3">
      <c r="A660" t="s">
        <v>911</v>
      </c>
      <c r="B660" t="s">
        <v>469</v>
      </c>
      <c r="C660" t="s">
        <v>470</v>
      </c>
      <c r="D660">
        <v>10.531700000000001</v>
      </c>
      <c r="F660">
        <v>41.8</v>
      </c>
      <c r="G660" s="11"/>
      <c r="H660" t="s">
        <v>383</v>
      </c>
      <c r="I660" t="s">
        <v>383</v>
      </c>
      <c r="J660" t="s">
        <v>383</v>
      </c>
      <c r="K660">
        <v>0</v>
      </c>
      <c r="L660">
        <v>35</v>
      </c>
      <c r="M660" t="s">
        <v>227</v>
      </c>
      <c r="N660" s="6" t="s">
        <v>2234</v>
      </c>
      <c r="R660">
        <v>0</v>
      </c>
      <c r="S660">
        <v>35</v>
      </c>
      <c r="T660" t="s">
        <v>1982</v>
      </c>
      <c r="U660" t="s">
        <v>2009</v>
      </c>
      <c r="V660" t="s">
        <v>2024</v>
      </c>
      <c r="W660" t="s">
        <v>2016</v>
      </c>
      <c r="X660" t="s">
        <v>3045</v>
      </c>
      <c r="AB660" t="s">
        <v>225</v>
      </c>
    </row>
    <row r="661" spans="1:28" ht="18" customHeight="1" x14ac:dyDescent="0.3">
      <c r="A661" t="s">
        <v>922</v>
      </c>
      <c r="B661" t="s">
        <v>481</v>
      </c>
      <c r="C661" t="s">
        <v>482</v>
      </c>
      <c r="D661">
        <v>10.5366</v>
      </c>
      <c r="F661">
        <v>41</v>
      </c>
      <c r="G661" s="11"/>
      <c r="H661" t="s">
        <v>383</v>
      </c>
      <c r="I661" t="s">
        <v>383</v>
      </c>
      <c r="J661" t="s">
        <v>383</v>
      </c>
      <c r="K661">
        <v>0</v>
      </c>
      <c r="L661">
        <v>40</v>
      </c>
      <c r="M661" t="s">
        <v>227</v>
      </c>
      <c r="N661" s="6" t="s">
        <v>2234</v>
      </c>
      <c r="R661">
        <v>0</v>
      </c>
      <c r="S661">
        <v>40</v>
      </c>
      <c r="T661" t="s">
        <v>1982</v>
      </c>
      <c r="U661" t="s">
        <v>2009</v>
      </c>
      <c r="V661" t="s">
        <v>2024</v>
      </c>
      <c r="W661" t="s">
        <v>2016</v>
      </c>
      <c r="X661" t="s">
        <v>3045</v>
      </c>
      <c r="AB661" t="s">
        <v>2536</v>
      </c>
    </row>
    <row r="662" spans="1:28" x14ac:dyDescent="0.3">
      <c r="A662" t="s">
        <v>1209</v>
      </c>
      <c r="B662" t="s">
        <v>731</v>
      </c>
      <c r="D662">
        <v>34.252000000000002</v>
      </c>
      <c r="E662">
        <v>13104</v>
      </c>
      <c r="F662">
        <v>33.1</v>
      </c>
      <c r="G662" s="11"/>
      <c r="H662" t="s">
        <v>1746</v>
      </c>
      <c r="I662">
        <v>9698</v>
      </c>
      <c r="J662">
        <v>4349142</v>
      </c>
      <c r="K662">
        <v>0</v>
      </c>
      <c r="L662">
        <v>27</v>
      </c>
      <c r="M662" t="s">
        <v>227</v>
      </c>
      <c r="N662" s="6" t="s">
        <v>2329</v>
      </c>
      <c r="R662">
        <v>0</v>
      </c>
      <c r="S662">
        <v>27</v>
      </c>
      <c r="T662" t="s">
        <v>666</v>
      </c>
      <c r="U662" t="s">
        <v>2009</v>
      </c>
      <c r="V662" t="s">
        <v>2023</v>
      </c>
      <c r="W662" t="s">
        <v>2014</v>
      </c>
      <c r="X662" t="s">
        <v>3037</v>
      </c>
      <c r="AA662" t="s">
        <v>1692</v>
      </c>
      <c r="AB662" t="s">
        <v>231</v>
      </c>
    </row>
    <row r="663" spans="1:28" x14ac:dyDescent="0.3">
      <c r="A663" t="s">
        <v>1390</v>
      </c>
      <c r="B663" t="s">
        <v>732</v>
      </c>
      <c r="D663">
        <v>40.732999999999997</v>
      </c>
      <c r="E663">
        <v>13338</v>
      </c>
      <c r="F663">
        <v>51.5</v>
      </c>
      <c r="G663" s="11"/>
      <c r="H663" t="s">
        <v>1746</v>
      </c>
      <c r="I663">
        <v>13184</v>
      </c>
      <c r="J663">
        <v>5810359</v>
      </c>
      <c r="K663">
        <v>4</v>
      </c>
      <c r="L663">
        <v>30</v>
      </c>
      <c r="M663" t="s">
        <v>226</v>
      </c>
      <c r="N663" s="6" t="s">
        <v>2503</v>
      </c>
      <c r="R663">
        <v>4</v>
      </c>
      <c r="S663">
        <v>30</v>
      </c>
      <c r="T663" t="s">
        <v>667</v>
      </c>
      <c r="U663" t="s">
        <v>2009</v>
      </c>
      <c r="V663" t="s">
        <v>2024</v>
      </c>
      <c r="W663" t="s">
        <v>2015</v>
      </c>
      <c r="X663" t="s">
        <v>3039</v>
      </c>
      <c r="AB663" t="s">
        <v>232</v>
      </c>
    </row>
    <row r="664" spans="1:28" x14ac:dyDescent="0.3">
      <c r="A664" t="s">
        <v>1210</v>
      </c>
      <c r="B664" t="s">
        <v>11</v>
      </c>
      <c r="D664">
        <v>28.49</v>
      </c>
      <c r="E664">
        <v>8761</v>
      </c>
      <c r="F664">
        <v>55.697000000000003</v>
      </c>
      <c r="G664" s="11"/>
      <c r="H664" t="s">
        <v>340</v>
      </c>
      <c r="I664">
        <v>8761</v>
      </c>
      <c r="J664">
        <v>4278839</v>
      </c>
      <c r="K664">
        <v>31</v>
      </c>
      <c r="L664">
        <v>61</v>
      </c>
      <c r="M664" t="s">
        <v>227</v>
      </c>
      <c r="N664" s="6" t="s">
        <v>2397</v>
      </c>
      <c r="R664">
        <v>31</v>
      </c>
      <c r="S664">
        <v>61</v>
      </c>
      <c r="T664" t="s">
        <v>1983</v>
      </c>
      <c r="U664" t="s">
        <v>2009</v>
      </c>
      <c r="V664" t="s">
        <v>2024</v>
      </c>
      <c r="W664" t="s">
        <v>2016</v>
      </c>
      <c r="X664" t="s">
        <v>2039</v>
      </c>
      <c r="AB664" t="s">
        <v>1690</v>
      </c>
    </row>
    <row r="665" spans="1:28" x14ac:dyDescent="0.3">
      <c r="A665" t="s">
        <v>1211</v>
      </c>
      <c r="B665" t="s">
        <v>186</v>
      </c>
      <c r="D665">
        <v>31.413</v>
      </c>
      <c r="E665">
        <v>10453</v>
      </c>
      <c r="F665">
        <v>49.2</v>
      </c>
      <c r="G665" s="11"/>
      <c r="H665" t="s">
        <v>340</v>
      </c>
      <c r="I665">
        <v>10452</v>
      </c>
      <c r="J665">
        <v>4661927</v>
      </c>
      <c r="K665">
        <v>21</v>
      </c>
      <c r="L665">
        <v>55</v>
      </c>
      <c r="M665" t="s">
        <v>226</v>
      </c>
      <c r="N665" s="6" t="s">
        <v>2177</v>
      </c>
      <c r="R665">
        <v>21</v>
      </c>
      <c r="S665">
        <v>55</v>
      </c>
      <c r="T665" t="s">
        <v>1983</v>
      </c>
      <c r="U665" t="s">
        <v>2009</v>
      </c>
      <c r="V665" t="s">
        <v>2024</v>
      </c>
      <c r="W665" t="s">
        <v>2016</v>
      </c>
      <c r="X665" t="s">
        <v>2039</v>
      </c>
    </row>
    <row r="666" spans="1:28" x14ac:dyDescent="0.3">
      <c r="A666" t="s">
        <v>1212</v>
      </c>
      <c r="B666" t="s">
        <v>230</v>
      </c>
      <c r="C666" t="s">
        <v>573</v>
      </c>
      <c r="D666">
        <v>24.77</v>
      </c>
      <c r="E666">
        <v>6884</v>
      </c>
      <c r="F666">
        <v>52.72</v>
      </c>
      <c r="G666" s="11"/>
      <c r="H666" t="s">
        <v>340</v>
      </c>
      <c r="I666">
        <v>6881</v>
      </c>
      <c r="J666">
        <v>2827534</v>
      </c>
      <c r="K666">
        <v>20</v>
      </c>
      <c r="L666">
        <v>52.5</v>
      </c>
      <c r="M666" t="s">
        <v>227</v>
      </c>
      <c r="N666" s="6" t="s">
        <v>2504</v>
      </c>
      <c r="R666">
        <v>20</v>
      </c>
      <c r="S666">
        <v>52.5</v>
      </c>
      <c r="T666" t="s">
        <v>1983</v>
      </c>
      <c r="U666" t="s">
        <v>2009</v>
      </c>
      <c r="V666" t="s">
        <v>2024</v>
      </c>
      <c r="W666" t="s">
        <v>2016</v>
      </c>
      <c r="X666" t="s">
        <v>2039</v>
      </c>
      <c r="AA666" t="s">
        <v>3031</v>
      </c>
      <c r="AB666" t="s">
        <v>2035</v>
      </c>
    </row>
    <row r="667" spans="1:28" x14ac:dyDescent="0.3">
      <c r="A667" t="s">
        <v>1217</v>
      </c>
      <c r="B667" t="s">
        <v>14</v>
      </c>
      <c r="D667">
        <v>28.861999999999998</v>
      </c>
      <c r="E667">
        <v>10296</v>
      </c>
      <c r="F667">
        <v>55.697000000000003</v>
      </c>
      <c r="G667" s="11"/>
      <c r="H667" t="s">
        <v>3707</v>
      </c>
      <c r="I667">
        <v>10296</v>
      </c>
      <c r="J667">
        <v>4534679</v>
      </c>
      <c r="K667">
        <v>20</v>
      </c>
      <c r="L667">
        <v>60</v>
      </c>
      <c r="M667" t="s">
        <v>226</v>
      </c>
      <c r="N667" s="6" t="s">
        <v>2177</v>
      </c>
      <c r="R667">
        <v>20</v>
      </c>
      <c r="S667">
        <v>60</v>
      </c>
      <c r="T667" t="s">
        <v>1984</v>
      </c>
      <c r="U667" t="s">
        <v>2009</v>
      </c>
      <c r="V667" t="s">
        <v>2024</v>
      </c>
      <c r="W667" t="s">
        <v>2016</v>
      </c>
      <c r="X667" t="s">
        <v>2039</v>
      </c>
      <c r="AB667" t="s">
        <v>2036</v>
      </c>
    </row>
    <row r="668" spans="1:28" ht="16.2" customHeight="1" x14ac:dyDescent="0.3">
      <c r="A668" t="s">
        <v>933</v>
      </c>
      <c r="B668" t="s">
        <v>182</v>
      </c>
      <c r="C668" t="s">
        <v>288</v>
      </c>
      <c r="D668">
        <v>28.321999999999999</v>
      </c>
      <c r="E668">
        <v>7165</v>
      </c>
      <c r="F668">
        <v>52.5</v>
      </c>
      <c r="G668" s="11"/>
      <c r="H668" t="s">
        <v>1746</v>
      </c>
      <c r="I668">
        <v>7186</v>
      </c>
      <c r="J668">
        <v>3924214</v>
      </c>
      <c r="K668">
        <v>31</v>
      </c>
      <c r="L668">
        <v>64</v>
      </c>
      <c r="M668" t="s">
        <v>226</v>
      </c>
      <c r="N668" s="6" t="s">
        <v>2177</v>
      </c>
      <c r="R668">
        <v>31</v>
      </c>
      <c r="S668">
        <v>64</v>
      </c>
      <c r="T668" t="s">
        <v>1985</v>
      </c>
      <c r="U668" t="s">
        <v>2009</v>
      </c>
      <c r="V668" t="s">
        <v>2024</v>
      </c>
      <c r="W668" t="s">
        <v>2016</v>
      </c>
      <c r="X668" t="s">
        <v>2039</v>
      </c>
      <c r="AA668" t="s">
        <v>3032</v>
      </c>
      <c r="AB668" t="s">
        <v>3033</v>
      </c>
    </row>
    <row r="669" spans="1:28" x14ac:dyDescent="0.3">
      <c r="A669" t="s">
        <v>1213</v>
      </c>
      <c r="B669" t="s">
        <v>291</v>
      </c>
      <c r="C669" t="s">
        <v>360</v>
      </c>
      <c r="D669">
        <v>19.834</v>
      </c>
      <c r="E669">
        <v>7560</v>
      </c>
      <c r="F669">
        <v>53</v>
      </c>
      <c r="G669" s="11"/>
      <c r="H669" t="s">
        <v>340</v>
      </c>
      <c r="I669">
        <v>7560</v>
      </c>
      <c r="J669">
        <v>3522989</v>
      </c>
      <c r="K669">
        <v>28</v>
      </c>
      <c r="L669">
        <v>60</v>
      </c>
      <c r="M669" t="s">
        <v>227</v>
      </c>
      <c r="N669" s="6" t="s">
        <v>2505</v>
      </c>
      <c r="R669">
        <v>28</v>
      </c>
      <c r="S669">
        <v>60</v>
      </c>
      <c r="T669" t="s">
        <v>1986</v>
      </c>
      <c r="U669" t="s">
        <v>2009</v>
      </c>
      <c r="V669" t="s">
        <v>2024</v>
      </c>
      <c r="W669" t="s">
        <v>2016</v>
      </c>
      <c r="X669" t="s">
        <v>2039</v>
      </c>
      <c r="AB669" t="s">
        <v>2008</v>
      </c>
    </row>
    <row r="670" spans="1:28" x14ac:dyDescent="0.3">
      <c r="A670" t="s">
        <v>1214</v>
      </c>
      <c r="B670" t="s">
        <v>1</v>
      </c>
      <c r="C670" t="s">
        <v>1735</v>
      </c>
      <c r="D670">
        <f>AVERAGE(19.918,19.156)</f>
        <v>19.536999999999999</v>
      </c>
      <c r="E670">
        <f>AVERAGE(8129,6241)</f>
        <v>7185</v>
      </c>
      <c r="F670">
        <v>52.2</v>
      </c>
      <c r="G670" s="11"/>
      <c r="H670" t="s">
        <v>340</v>
      </c>
      <c r="I670">
        <v>8128</v>
      </c>
      <c r="J670">
        <v>3767407</v>
      </c>
      <c r="K670">
        <v>34</v>
      </c>
      <c r="L670">
        <v>62</v>
      </c>
      <c r="M670" t="s">
        <v>226</v>
      </c>
      <c r="N670" s="6" t="s">
        <v>2177</v>
      </c>
      <c r="R670">
        <v>34</v>
      </c>
      <c r="S670">
        <v>62</v>
      </c>
      <c r="T670" t="s">
        <v>1986</v>
      </c>
      <c r="U670" t="s">
        <v>2009</v>
      </c>
      <c r="V670" t="s">
        <v>2024</v>
      </c>
      <c r="W670" t="s">
        <v>2016</v>
      </c>
      <c r="X670" t="s">
        <v>2039</v>
      </c>
      <c r="AB670" t="s">
        <v>2011</v>
      </c>
    </row>
    <row r="671" spans="1:28" x14ac:dyDescent="0.3">
      <c r="A671" t="s">
        <v>1215</v>
      </c>
      <c r="B671" t="s">
        <v>13</v>
      </c>
      <c r="D671">
        <v>29.55</v>
      </c>
      <c r="E671">
        <v>10387</v>
      </c>
      <c r="F671">
        <v>56.91</v>
      </c>
      <c r="G671" s="11"/>
      <c r="H671" t="s">
        <v>340</v>
      </c>
      <c r="I671">
        <v>10380</v>
      </c>
      <c r="J671">
        <v>4387793</v>
      </c>
      <c r="K671">
        <v>16</v>
      </c>
      <c r="L671">
        <v>52</v>
      </c>
      <c r="M671" t="s">
        <v>226</v>
      </c>
      <c r="N671" s="6" t="s">
        <v>2177</v>
      </c>
      <c r="R671">
        <v>16</v>
      </c>
      <c r="S671">
        <v>52</v>
      </c>
      <c r="T671" t="s">
        <v>1986</v>
      </c>
      <c r="U671" t="s">
        <v>2009</v>
      </c>
      <c r="V671" t="s">
        <v>2024</v>
      </c>
      <c r="W671" t="s">
        <v>2016</v>
      </c>
      <c r="X671" t="s">
        <v>2039</v>
      </c>
      <c r="AB671" t="s">
        <v>2013</v>
      </c>
    </row>
    <row r="672" spans="1:28" x14ac:dyDescent="0.3">
      <c r="A672" t="s">
        <v>1087</v>
      </c>
      <c r="B672" t="s">
        <v>184</v>
      </c>
      <c r="C672" t="s">
        <v>336</v>
      </c>
      <c r="D672">
        <v>29.260999999999999</v>
      </c>
      <c r="E672">
        <v>7392</v>
      </c>
      <c r="F672">
        <v>56.5</v>
      </c>
      <c r="G672" s="11"/>
      <c r="H672" t="s">
        <v>340</v>
      </c>
      <c r="I672">
        <v>7355</v>
      </c>
      <c r="J672">
        <v>3213244</v>
      </c>
      <c r="K672">
        <v>25</v>
      </c>
      <c r="L672">
        <v>59</v>
      </c>
      <c r="M672" t="s">
        <v>226</v>
      </c>
      <c r="N672" s="6" t="s">
        <v>2177</v>
      </c>
      <c r="R672">
        <v>25</v>
      </c>
      <c r="S672">
        <v>59</v>
      </c>
      <c r="T672" t="s">
        <v>1987</v>
      </c>
      <c r="U672" t="s">
        <v>2009</v>
      </c>
      <c r="V672" t="s">
        <v>2024</v>
      </c>
      <c r="W672" t="s">
        <v>2016</v>
      </c>
      <c r="X672" t="s">
        <v>2039</v>
      </c>
      <c r="AB672" t="s">
        <v>2012</v>
      </c>
    </row>
    <row r="673" spans="1:28" x14ac:dyDescent="0.3">
      <c r="A673" t="s">
        <v>1089</v>
      </c>
      <c r="B673" t="s">
        <v>185</v>
      </c>
      <c r="C673" t="s">
        <v>335</v>
      </c>
      <c r="D673">
        <v>31.687000000000001</v>
      </c>
      <c r="E673">
        <v>8744</v>
      </c>
      <c r="F673">
        <v>54.5</v>
      </c>
      <c r="G673" s="11"/>
      <c r="H673" t="s">
        <v>340</v>
      </c>
      <c r="I673">
        <v>8734</v>
      </c>
      <c r="J673">
        <v>4344009</v>
      </c>
      <c r="K673">
        <v>25</v>
      </c>
      <c r="L673">
        <v>55</v>
      </c>
      <c r="M673" t="s">
        <v>227</v>
      </c>
      <c r="N673" s="6" t="s">
        <v>2506</v>
      </c>
      <c r="R673">
        <v>25</v>
      </c>
      <c r="S673">
        <v>55</v>
      </c>
      <c r="T673" t="s">
        <v>1987</v>
      </c>
      <c r="U673" t="s">
        <v>2009</v>
      </c>
      <c r="V673" t="s">
        <v>2024</v>
      </c>
      <c r="W673" t="s">
        <v>2016</v>
      </c>
      <c r="X673" t="s">
        <v>2039</v>
      </c>
      <c r="AB673" t="s">
        <v>2034</v>
      </c>
    </row>
    <row r="674" spans="1:28" x14ac:dyDescent="0.3">
      <c r="A674" t="s">
        <v>1216</v>
      </c>
      <c r="B674" t="s">
        <v>5</v>
      </c>
      <c r="C674" t="s">
        <v>361</v>
      </c>
      <c r="D674">
        <v>38.744199999999999</v>
      </c>
      <c r="E674">
        <v>9110</v>
      </c>
      <c r="F674">
        <v>51.449100000000001</v>
      </c>
      <c r="G674" s="11"/>
      <c r="H674" t="s">
        <v>1746</v>
      </c>
      <c r="I674">
        <v>9079</v>
      </c>
      <c r="J674">
        <v>4302111</v>
      </c>
      <c r="K674">
        <v>25</v>
      </c>
      <c r="L674">
        <v>60</v>
      </c>
      <c r="M674" t="s">
        <v>227</v>
      </c>
      <c r="N674" s="6" t="s">
        <v>2507</v>
      </c>
      <c r="Q674" t="s">
        <v>416</v>
      </c>
      <c r="R674">
        <v>25</v>
      </c>
      <c r="S674">
        <v>60</v>
      </c>
      <c r="T674" t="s">
        <v>1987</v>
      </c>
      <c r="U674" t="s">
        <v>2009</v>
      </c>
      <c r="V674" t="s">
        <v>2024</v>
      </c>
      <c r="W674" t="s">
        <v>2016</v>
      </c>
      <c r="X674" t="s">
        <v>2039</v>
      </c>
    </row>
    <row r="675" spans="1:28" x14ac:dyDescent="0.3">
      <c r="A675" t="s">
        <v>1218</v>
      </c>
      <c r="B675" t="s">
        <v>183</v>
      </c>
      <c r="C675" t="s">
        <v>757</v>
      </c>
      <c r="D675">
        <v>36.911999999999999</v>
      </c>
      <c r="E675">
        <v>9813</v>
      </c>
      <c r="F675">
        <v>54.7</v>
      </c>
      <c r="G675" s="8" t="s">
        <v>2156</v>
      </c>
      <c r="H675" t="s">
        <v>1746</v>
      </c>
      <c r="I675">
        <v>9760</v>
      </c>
      <c r="J675">
        <v>4525313</v>
      </c>
      <c r="K675">
        <v>32</v>
      </c>
      <c r="L675">
        <v>50</v>
      </c>
      <c r="M675" t="s">
        <v>226</v>
      </c>
      <c r="N675" s="6" t="s">
        <v>2177</v>
      </c>
      <c r="R675">
        <v>32</v>
      </c>
      <c r="S675">
        <v>50</v>
      </c>
      <c r="T675" t="s">
        <v>1988</v>
      </c>
      <c r="U675" t="s">
        <v>2009</v>
      </c>
      <c r="V675" t="s">
        <v>2024</v>
      </c>
      <c r="W675" t="s">
        <v>2016</v>
      </c>
      <c r="X675" t="s">
        <v>2039</v>
      </c>
    </row>
    <row r="676" spans="1:28" x14ac:dyDescent="0.3">
      <c r="A676" t="s">
        <v>1670</v>
      </c>
      <c r="B676" t="s">
        <v>3871</v>
      </c>
      <c r="D676">
        <v>28.8</v>
      </c>
      <c r="E676">
        <v>9799</v>
      </c>
      <c r="F676">
        <v>56.5</v>
      </c>
      <c r="G676" s="11"/>
      <c r="H676" t="s">
        <v>340</v>
      </c>
      <c r="I676">
        <v>9799</v>
      </c>
      <c r="J676">
        <v>5135513</v>
      </c>
      <c r="M676" t="s">
        <v>1691</v>
      </c>
      <c r="N676" s="6" t="s">
        <v>2168</v>
      </c>
      <c r="O676">
        <v>4</v>
      </c>
      <c r="P676">
        <v>36</v>
      </c>
      <c r="Q676">
        <v>12</v>
      </c>
      <c r="R676">
        <v>4</v>
      </c>
      <c r="S676">
        <v>36</v>
      </c>
      <c r="T676" t="s">
        <v>669</v>
      </c>
      <c r="U676" t="s">
        <v>2009</v>
      </c>
      <c r="V676" t="s">
        <v>2024</v>
      </c>
      <c r="W676" t="s">
        <v>2015</v>
      </c>
      <c r="X676" t="s">
        <v>3053</v>
      </c>
    </row>
    <row r="677" spans="1:28" x14ac:dyDescent="0.3">
      <c r="A677" t="s">
        <v>1219</v>
      </c>
      <c r="B677" t="s">
        <v>584</v>
      </c>
      <c r="D677">
        <v>18.760999999999999</v>
      </c>
      <c r="E677">
        <v>7011</v>
      </c>
      <c r="F677">
        <v>67.5</v>
      </c>
      <c r="G677" s="11"/>
      <c r="H677" t="s">
        <v>1746</v>
      </c>
      <c r="I677">
        <v>7005</v>
      </c>
      <c r="J677">
        <v>3616034</v>
      </c>
      <c r="K677">
        <v>4</v>
      </c>
      <c r="L677">
        <v>22.5</v>
      </c>
      <c r="M677" t="s">
        <v>227</v>
      </c>
      <c r="N677" s="6" t="s">
        <v>2231</v>
      </c>
      <c r="R677">
        <v>4</v>
      </c>
      <c r="S677">
        <v>22.5</v>
      </c>
      <c r="T677" t="s">
        <v>670</v>
      </c>
      <c r="U677" t="s">
        <v>2009</v>
      </c>
      <c r="V677" t="s">
        <v>2024</v>
      </c>
      <c r="W677" t="s">
        <v>2015</v>
      </c>
      <c r="X677" t="s">
        <v>3053</v>
      </c>
    </row>
    <row r="678" spans="1:28" x14ac:dyDescent="0.3">
      <c r="A678" t="s">
        <v>1220</v>
      </c>
      <c r="B678" t="s">
        <v>263</v>
      </c>
      <c r="D678">
        <v>31.696999999999999</v>
      </c>
      <c r="F678">
        <v>57.95</v>
      </c>
      <c r="G678" s="11"/>
      <c r="H678" t="s">
        <v>383</v>
      </c>
      <c r="I678" t="s">
        <v>383</v>
      </c>
      <c r="J678" t="s">
        <v>383</v>
      </c>
      <c r="K678">
        <v>4</v>
      </c>
      <c r="L678">
        <v>29</v>
      </c>
      <c r="M678" t="s">
        <v>264</v>
      </c>
      <c r="N678" s="6" t="s">
        <v>2508</v>
      </c>
      <c r="R678">
        <v>4</v>
      </c>
      <c r="S678">
        <v>29</v>
      </c>
      <c r="T678" t="s">
        <v>671</v>
      </c>
      <c r="U678" t="s">
        <v>2009</v>
      </c>
      <c r="V678" t="s">
        <v>2024</v>
      </c>
      <c r="W678" t="s">
        <v>2016</v>
      </c>
      <c r="X678" t="s">
        <v>2039</v>
      </c>
    </row>
    <row r="679" spans="1:28" x14ac:dyDescent="0.3">
      <c r="A679" t="s">
        <v>1221</v>
      </c>
      <c r="B679" t="s">
        <v>112</v>
      </c>
      <c r="D679">
        <v>30.347999999999999</v>
      </c>
      <c r="E679">
        <v>9998</v>
      </c>
      <c r="F679">
        <v>57.9</v>
      </c>
      <c r="G679" s="11"/>
      <c r="H679" t="s">
        <v>3707</v>
      </c>
      <c r="I679">
        <v>9998</v>
      </c>
      <c r="J679">
        <v>4969469</v>
      </c>
      <c r="K679">
        <v>8</v>
      </c>
      <c r="L679">
        <v>45</v>
      </c>
      <c r="M679" t="s">
        <v>227</v>
      </c>
      <c r="N679" s="6" t="s">
        <v>2509</v>
      </c>
      <c r="R679">
        <v>8</v>
      </c>
      <c r="S679">
        <v>45</v>
      </c>
      <c r="T679" t="s">
        <v>671</v>
      </c>
      <c r="U679" t="s">
        <v>2009</v>
      </c>
      <c r="V679" t="s">
        <v>2024</v>
      </c>
      <c r="W679" t="s">
        <v>2016</v>
      </c>
      <c r="X679" t="s">
        <v>2039</v>
      </c>
    </row>
    <row r="680" spans="1:28" x14ac:dyDescent="0.3">
      <c r="A680" t="s">
        <v>1304</v>
      </c>
      <c r="B680" t="s">
        <v>817</v>
      </c>
      <c r="D680">
        <v>34.700000000000003</v>
      </c>
      <c r="E680">
        <v>14100</v>
      </c>
      <c r="F680">
        <v>58</v>
      </c>
      <c r="G680" s="11"/>
      <c r="H680" t="s">
        <v>340</v>
      </c>
      <c r="I680">
        <v>14108</v>
      </c>
      <c r="J680">
        <v>5786830</v>
      </c>
      <c r="K680">
        <v>14</v>
      </c>
      <c r="L680">
        <v>55</v>
      </c>
      <c r="M680" t="s">
        <v>228</v>
      </c>
      <c r="N680" s="6" t="s">
        <v>2279</v>
      </c>
      <c r="R680">
        <v>14</v>
      </c>
      <c r="S680">
        <v>55</v>
      </c>
      <c r="T680" t="s">
        <v>672</v>
      </c>
      <c r="U680" t="s">
        <v>2009</v>
      </c>
      <c r="V680" t="s">
        <v>2024</v>
      </c>
      <c r="W680" t="s">
        <v>2015</v>
      </c>
      <c r="X680" t="s">
        <v>3039</v>
      </c>
    </row>
    <row r="681" spans="1:28" x14ac:dyDescent="0.3">
      <c r="A681" t="s">
        <v>1674</v>
      </c>
      <c r="B681" t="s">
        <v>3872</v>
      </c>
      <c r="D681">
        <v>33.1</v>
      </c>
      <c r="E681">
        <v>12248</v>
      </c>
      <c r="F681">
        <v>57</v>
      </c>
      <c r="G681" s="11"/>
      <c r="H681" t="s">
        <v>340</v>
      </c>
      <c r="I681">
        <v>12038</v>
      </c>
      <c r="J681">
        <v>5154213</v>
      </c>
      <c r="M681" t="s">
        <v>1691</v>
      </c>
      <c r="N681" s="6" t="s">
        <v>2168</v>
      </c>
      <c r="O681">
        <v>10</v>
      </c>
      <c r="P681">
        <v>40</v>
      </c>
      <c r="Q681">
        <v>3</v>
      </c>
      <c r="R681">
        <v>10</v>
      </c>
      <c r="S681">
        <v>40</v>
      </c>
      <c r="T681" t="s">
        <v>672</v>
      </c>
      <c r="U681" t="s">
        <v>2009</v>
      </c>
      <c r="V681" t="s">
        <v>2024</v>
      </c>
      <c r="W681" t="s">
        <v>2015</v>
      </c>
      <c r="X681" t="s">
        <v>3039</v>
      </c>
    </row>
    <row r="682" spans="1:28" x14ac:dyDescent="0.3">
      <c r="A682" t="s">
        <v>1309</v>
      </c>
      <c r="B682" t="s">
        <v>824</v>
      </c>
      <c r="C682" t="s">
        <v>823</v>
      </c>
      <c r="D682">
        <v>33.6</v>
      </c>
      <c r="E682">
        <v>14598</v>
      </c>
      <c r="F682">
        <v>57.6</v>
      </c>
      <c r="G682" s="8" t="s">
        <v>2157</v>
      </c>
      <c r="H682" t="s">
        <v>383</v>
      </c>
      <c r="I682" t="s">
        <v>383</v>
      </c>
      <c r="J682" t="s">
        <v>383</v>
      </c>
      <c r="K682">
        <v>23</v>
      </c>
      <c r="L682">
        <v>41</v>
      </c>
      <c r="M682" t="s">
        <v>226</v>
      </c>
      <c r="N682" s="6" t="s">
        <v>2510</v>
      </c>
      <c r="O682">
        <v>4</v>
      </c>
      <c r="P682">
        <v>45</v>
      </c>
      <c r="Q682">
        <v>8</v>
      </c>
      <c r="R682">
        <v>4</v>
      </c>
      <c r="S682">
        <v>45</v>
      </c>
      <c r="T682" t="s">
        <v>672</v>
      </c>
      <c r="U682" t="s">
        <v>2009</v>
      </c>
      <c r="V682" t="s">
        <v>2024</v>
      </c>
      <c r="W682" t="s">
        <v>2015</v>
      </c>
      <c r="X682" t="s">
        <v>3039</v>
      </c>
    </row>
    <row r="683" spans="1:28" x14ac:dyDescent="0.3">
      <c r="A683" t="s">
        <v>1739</v>
      </c>
      <c r="B683" t="s">
        <v>1724</v>
      </c>
      <c r="C683" t="s">
        <v>1725</v>
      </c>
      <c r="D683">
        <f>AVERAGE(38.85,40.19)</f>
        <v>39.519999999999996</v>
      </c>
      <c r="E683">
        <f>AVERAGE(13113,13309)</f>
        <v>13211</v>
      </c>
      <c r="F683">
        <v>55.5</v>
      </c>
      <c r="G683" s="11"/>
      <c r="H683" t="s">
        <v>383</v>
      </c>
      <c r="I683" t="s">
        <v>383</v>
      </c>
      <c r="J683" t="s">
        <v>383</v>
      </c>
      <c r="K683">
        <v>28</v>
      </c>
      <c r="L683">
        <v>42</v>
      </c>
      <c r="M683" t="s">
        <v>236</v>
      </c>
      <c r="N683" s="6" t="s">
        <v>2511</v>
      </c>
      <c r="R683">
        <v>28</v>
      </c>
      <c r="S683">
        <v>42</v>
      </c>
      <c r="T683" t="s">
        <v>1989</v>
      </c>
      <c r="U683" t="s">
        <v>2009</v>
      </c>
      <c r="V683" t="s">
        <v>2024</v>
      </c>
      <c r="W683" t="s">
        <v>2015</v>
      </c>
      <c r="X683" t="s">
        <v>3039</v>
      </c>
    </row>
    <row r="684" spans="1:28" x14ac:dyDescent="0.3">
      <c r="A684" t="s">
        <v>1224</v>
      </c>
      <c r="B684" t="s">
        <v>45</v>
      </c>
      <c r="C684" t="s">
        <v>329</v>
      </c>
      <c r="D684">
        <f>AVERAGE(43.666,44.794)</f>
        <v>44.23</v>
      </c>
      <c r="E684">
        <f>AVERAGE(15606,14296)</f>
        <v>14951</v>
      </c>
      <c r="F684">
        <v>57.3</v>
      </c>
      <c r="G684" s="11"/>
      <c r="H684" t="s">
        <v>1746</v>
      </c>
      <c r="I684">
        <v>1022</v>
      </c>
      <c r="J684">
        <v>359438</v>
      </c>
      <c r="K684">
        <v>4</v>
      </c>
      <c r="L684">
        <v>38</v>
      </c>
      <c r="M684" t="s">
        <v>228</v>
      </c>
      <c r="N684" s="6" t="s">
        <v>2305</v>
      </c>
      <c r="O684">
        <v>0</v>
      </c>
      <c r="P684">
        <v>40</v>
      </c>
      <c r="Q684">
        <v>15</v>
      </c>
      <c r="R684">
        <v>0</v>
      </c>
      <c r="S684">
        <v>40</v>
      </c>
      <c r="T684" t="s">
        <v>672</v>
      </c>
      <c r="U684" t="s">
        <v>2009</v>
      </c>
      <c r="V684" t="s">
        <v>2024</v>
      </c>
      <c r="W684" t="s">
        <v>2015</v>
      </c>
      <c r="X684" t="s">
        <v>3039</v>
      </c>
    </row>
    <row r="685" spans="1:28" x14ac:dyDescent="0.3">
      <c r="A685" t="s">
        <v>1303</v>
      </c>
      <c r="B685" t="s">
        <v>816</v>
      </c>
      <c r="D685">
        <v>29.818999999999999</v>
      </c>
      <c r="E685">
        <v>11836</v>
      </c>
      <c r="F685">
        <v>52.17</v>
      </c>
      <c r="G685" s="11"/>
      <c r="H685" t="s">
        <v>340</v>
      </c>
      <c r="I685">
        <v>11835</v>
      </c>
      <c r="J685">
        <v>5053775</v>
      </c>
      <c r="K685">
        <v>18</v>
      </c>
      <c r="L685">
        <v>55</v>
      </c>
      <c r="M685" t="s">
        <v>228</v>
      </c>
      <c r="N685" s="6" t="s">
        <v>2279</v>
      </c>
      <c r="R685">
        <v>18</v>
      </c>
      <c r="S685">
        <v>55</v>
      </c>
      <c r="T685" t="s">
        <v>1990</v>
      </c>
      <c r="U685" t="s">
        <v>2009</v>
      </c>
      <c r="V685" t="s">
        <v>2024</v>
      </c>
      <c r="W685" t="s">
        <v>2015</v>
      </c>
      <c r="X685" t="s">
        <v>3039</v>
      </c>
    </row>
    <row r="686" spans="1:28" x14ac:dyDescent="0.3">
      <c r="A686" t="s">
        <v>1145</v>
      </c>
      <c r="B686" t="s">
        <v>19</v>
      </c>
      <c r="D686">
        <f>AVERAGE(35.544,35.011)</f>
        <v>35.277500000000003</v>
      </c>
      <c r="E686">
        <f>AVERAGE(11692,10588)</f>
        <v>11140</v>
      </c>
      <c r="F686">
        <v>51.9</v>
      </c>
      <c r="G686" s="11"/>
      <c r="H686" t="s">
        <v>1746</v>
      </c>
      <c r="I686">
        <v>10657</v>
      </c>
      <c r="J686">
        <v>5371942</v>
      </c>
      <c r="K686">
        <v>8</v>
      </c>
      <c r="L686">
        <v>36</v>
      </c>
      <c r="M686" t="s">
        <v>227</v>
      </c>
      <c r="N686" s="6" t="s">
        <v>2512</v>
      </c>
      <c r="R686">
        <v>8</v>
      </c>
      <c r="S686">
        <v>36</v>
      </c>
      <c r="T686" t="s">
        <v>1991</v>
      </c>
      <c r="U686" t="s">
        <v>2009</v>
      </c>
      <c r="V686" t="s">
        <v>2024</v>
      </c>
      <c r="W686" t="s">
        <v>2016</v>
      </c>
      <c r="X686" t="s">
        <v>2039</v>
      </c>
    </row>
    <row r="687" spans="1:28" x14ac:dyDescent="0.3">
      <c r="A687" t="s">
        <v>1227</v>
      </c>
      <c r="B687" t="s">
        <v>290</v>
      </c>
      <c r="D687">
        <v>33.215000000000003</v>
      </c>
      <c r="E687">
        <v>9737</v>
      </c>
      <c r="F687">
        <v>53.1</v>
      </c>
      <c r="G687" s="11"/>
      <c r="H687" t="s">
        <v>1746</v>
      </c>
      <c r="I687">
        <v>9734</v>
      </c>
      <c r="J687">
        <v>4700068</v>
      </c>
      <c r="K687">
        <v>12</v>
      </c>
      <c r="L687">
        <v>43</v>
      </c>
      <c r="M687" t="s">
        <v>228</v>
      </c>
      <c r="N687" s="6" t="s">
        <v>2513</v>
      </c>
      <c r="R687">
        <v>12</v>
      </c>
      <c r="S687">
        <v>43</v>
      </c>
      <c r="T687" t="s">
        <v>396</v>
      </c>
      <c r="U687" t="s">
        <v>2009</v>
      </c>
      <c r="V687" t="s">
        <v>2024</v>
      </c>
      <c r="W687" t="s">
        <v>2016</v>
      </c>
      <c r="X687" t="s">
        <v>2039</v>
      </c>
    </row>
    <row r="688" spans="1:28" x14ac:dyDescent="0.3">
      <c r="A688" t="s">
        <v>1228</v>
      </c>
      <c r="B688" t="s">
        <v>520</v>
      </c>
      <c r="D688">
        <f>AVERAGE(40.378,40.484,40.87,40.98)</f>
        <v>40.677999999999997</v>
      </c>
      <c r="E688">
        <f>AVERAGE(12762,12842,13932,14095)</f>
        <v>13407.75</v>
      </c>
      <c r="F688">
        <v>48.46</v>
      </c>
      <c r="G688" s="11"/>
      <c r="H688" t="s">
        <v>1746</v>
      </c>
      <c r="I688">
        <v>14048</v>
      </c>
      <c r="J688">
        <v>6187414</v>
      </c>
      <c r="K688">
        <v>5</v>
      </c>
      <c r="L688">
        <v>36</v>
      </c>
      <c r="M688" t="s">
        <v>227</v>
      </c>
      <c r="N688" s="6" t="s">
        <v>2514</v>
      </c>
      <c r="R688">
        <v>5</v>
      </c>
      <c r="S688">
        <v>36</v>
      </c>
      <c r="T688" t="s">
        <v>396</v>
      </c>
      <c r="U688" t="s">
        <v>2009</v>
      </c>
      <c r="V688" t="s">
        <v>2024</v>
      </c>
      <c r="W688" t="s">
        <v>2016</v>
      </c>
      <c r="X688" t="s">
        <v>2039</v>
      </c>
    </row>
    <row r="689" spans="1:24" x14ac:dyDescent="0.3">
      <c r="A689" t="s">
        <v>1226</v>
      </c>
      <c r="B689" t="s">
        <v>15</v>
      </c>
      <c r="C689" t="s">
        <v>744</v>
      </c>
      <c r="D689">
        <f>AVERAGE(35.604,36.333,36.521,37.129,36.144)</f>
        <v>36.346199999999996</v>
      </c>
      <c r="E689">
        <f>AVERAGE(11401,11909,12001,12360,11828)</f>
        <v>11899.8</v>
      </c>
      <c r="F689">
        <v>49.7</v>
      </c>
      <c r="G689" s="11"/>
      <c r="H689" t="s">
        <v>341</v>
      </c>
      <c r="I689">
        <v>13583</v>
      </c>
      <c r="J689">
        <v>5783343</v>
      </c>
      <c r="K689">
        <v>12</v>
      </c>
      <c r="L689">
        <v>32</v>
      </c>
      <c r="M689" t="s">
        <v>226</v>
      </c>
      <c r="N689" s="6" t="s">
        <v>2513</v>
      </c>
      <c r="R689">
        <v>12</v>
      </c>
      <c r="S689">
        <v>32</v>
      </c>
      <c r="T689" t="s">
        <v>396</v>
      </c>
      <c r="U689" t="s">
        <v>2009</v>
      </c>
      <c r="V689" t="s">
        <v>2024</v>
      </c>
      <c r="W689" t="s">
        <v>2016</v>
      </c>
      <c r="X689" t="s">
        <v>2039</v>
      </c>
    </row>
    <row r="690" spans="1:24" x14ac:dyDescent="0.3">
      <c r="A690" t="s">
        <v>1229</v>
      </c>
      <c r="B690" t="s">
        <v>74</v>
      </c>
      <c r="D690">
        <f>AVERAGE(34.324,34.319,34.923,32.071,32.689,33.455)</f>
        <v>33.630166666666668</v>
      </c>
      <c r="E690">
        <f>AVERAGE(11087,11090,9062,9852,9143)</f>
        <v>10046.799999999999</v>
      </c>
      <c r="F690">
        <v>51.639800000000001</v>
      </c>
      <c r="G690" s="11"/>
      <c r="H690" t="s">
        <v>1746</v>
      </c>
      <c r="I690">
        <v>9113</v>
      </c>
      <c r="J690">
        <v>4488688</v>
      </c>
      <c r="K690">
        <v>20</v>
      </c>
      <c r="L690">
        <v>45</v>
      </c>
      <c r="M690" t="s">
        <v>227</v>
      </c>
      <c r="N690" s="6" t="s">
        <v>2515</v>
      </c>
      <c r="R690">
        <v>20</v>
      </c>
      <c r="S690">
        <v>45</v>
      </c>
      <c r="T690" t="s">
        <v>396</v>
      </c>
      <c r="U690" t="s">
        <v>2009</v>
      </c>
      <c r="V690" t="s">
        <v>2024</v>
      </c>
      <c r="W690" t="s">
        <v>2016</v>
      </c>
      <c r="X690" t="s">
        <v>2039</v>
      </c>
    </row>
    <row r="691" spans="1:24" x14ac:dyDescent="0.3">
      <c r="A691" t="s">
        <v>1230</v>
      </c>
      <c r="B691" t="s">
        <v>25</v>
      </c>
      <c r="D691">
        <f>AVERAGE(36.116,39.023)</f>
        <v>37.569500000000005</v>
      </c>
      <c r="E691">
        <f>AVERAGE(11148,12423)</f>
        <v>11785.5</v>
      </c>
      <c r="F691">
        <v>48.7</v>
      </c>
      <c r="G691" s="11"/>
      <c r="H691" t="s">
        <v>1746</v>
      </c>
      <c r="I691">
        <v>12383</v>
      </c>
      <c r="J691">
        <v>5834537</v>
      </c>
      <c r="K691">
        <v>5</v>
      </c>
      <c r="L691">
        <v>37</v>
      </c>
      <c r="M691" t="s">
        <v>226</v>
      </c>
      <c r="N691" s="6" t="s">
        <v>2516</v>
      </c>
      <c r="R691">
        <v>5</v>
      </c>
      <c r="S691">
        <v>37</v>
      </c>
      <c r="T691" t="s">
        <v>396</v>
      </c>
      <c r="U691" t="s">
        <v>2009</v>
      </c>
      <c r="V691" t="s">
        <v>2024</v>
      </c>
      <c r="W691" t="s">
        <v>2016</v>
      </c>
      <c r="X691" t="s">
        <v>2039</v>
      </c>
    </row>
    <row r="692" spans="1:24" x14ac:dyDescent="0.3">
      <c r="A692" t="s">
        <v>1231</v>
      </c>
      <c r="B692" t="s">
        <v>428</v>
      </c>
      <c r="D692">
        <v>37</v>
      </c>
      <c r="F692">
        <v>50</v>
      </c>
      <c r="G692" s="11"/>
      <c r="H692" t="s">
        <v>383</v>
      </c>
      <c r="I692" t="s">
        <v>383</v>
      </c>
      <c r="J692" t="s">
        <v>383</v>
      </c>
      <c r="K692">
        <v>8</v>
      </c>
      <c r="L692">
        <v>44</v>
      </c>
      <c r="M692" t="s">
        <v>226</v>
      </c>
      <c r="N692" s="6" t="s">
        <v>2517</v>
      </c>
      <c r="O692">
        <v>16</v>
      </c>
      <c r="P692">
        <v>33</v>
      </c>
      <c r="Q692">
        <v>6</v>
      </c>
      <c r="R692">
        <v>8</v>
      </c>
      <c r="S692">
        <v>44</v>
      </c>
      <c r="T692" t="s">
        <v>396</v>
      </c>
      <c r="U692" t="s">
        <v>2009</v>
      </c>
      <c r="V692" t="s">
        <v>2024</v>
      </c>
      <c r="W692" t="s">
        <v>2016</v>
      </c>
      <c r="X692" t="s">
        <v>2039</v>
      </c>
    </row>
    <row r="693" spans="1:24" x14ac:dyDescent="0.3">
      <c r="A693" t="s">
        <v>1232</v>
      </c>
      <c r="B693" t="s">
        <v>369</v>
      </c>
      <c r="D693">
        <v>142.30000000000001</v>
      </c>
      <c r="E693">
        <v>14636</v>
      </c>
      <c r="F693">
        <v>43.55</v>
      </c>
      <c r="G693" s="8" t="s">
        <v>2058</v>
      </c>
      <c r="H693" t="s">
        <v>383</v>
      </c>
      <c r="I693" t="s">
        <v>383</v>
      </c>
      <c r="J693" t="s">
        <v>383</v>
      </c>
      <c r="K693">
        <v>8</v>
      </c>
      <c r="L693">
        <v>32</v>
      </c>
      <c r="M693" t="s">
        <v>228</v>
      </c>
      <c r="N693" s="6" t="s">
        <v>2518</v>
      </c>
      <c r="R693">
        <v>8</v>
      </c>
      <c r="S693">
        <v>32</v>
      </c>
      <c r="T693" t="s">
        <v>1992</v>
      </c>
      <c r="U693" t="s">
        <v>2009</v>
      </c>
      <c r="V693" t="s">
        <v>2024</v>
      </c>
      <c r="W693" t="s">
        <v>2015</v>
      </c>
      <c r="X693" t="s">
        <v>3039</v>
      </c>
    </row>
    <row r="694" spans="1:24" x14ac:dyDescent="0.3">
      <c r="A694" t="s">
        <v>1294</v>
      </c>
      <c r="B694" t="s">
        <v>327</v>
      </c>
      <c r="D694">
        <v>175.75899999999999</v>
      </c>
      <c r="E694">
        <v>22885</v>
      </c>
      <c r="F694">
        <v>45.5</v>
      </c>
      <c r="G694" s="11"/>
      <c r="H694" t="s">
        <v>340</v>
      </c>
      <c r="I694">
        <v>22781</v>
      </c>
      <c r="J694">
        <v>6228075</v>
      </c>
      <c r="K694">
        <v>6</v>
      </c>
      <c r="L694">
        <v>27</v>
      </c>
      <c r="M694" t="s">
        <v>226</v>
      </c>
      <c r="N694" s="6" t="s">
        <v>2339</v>
      </c>
      <c r="O694">
        <v>5</v>
      </c>
      <c r="P694">
        <v>31</v>
      </c>
      <c r="Q694">
        <v>6</v>
      </c>
      <c r="R694">
        <v>5</v>
      </c>
      <c r="S694">
        <v>31</v>
      </c>
      <c r="T694" t="s">
        <v>1992</v>
      </c>
      <c r="U694" t="s">
        <v>2009</v>
      </c>
      <c r="V694" t="s">
        <v>2024</v>
      </c>
      <c r="W694" t="s">
        <v>2015</v>
      </c>
      <c r="X694" t="s">
        <v>3039</v>
      </c>
    </row>
    <row r="695" spans="1:24" x14ac:dyDescent="0.3">
      <c r="A695" t="s">
        <v>1233</v>
      </c>
      <c r="B695" t="s">
        <v>328</v>
      </c>
      <c r="D695">
        <v>83.9</v>
      </c>
      <c r="E695">
        <v>23810</v>
      </c>
      <c r="F695">
        <v>46.7</v>
      </c>
      <c r="G695" s="8" t="s">
        <v>2058</v>
      </c>
      <c r="H695" t="s">
        <v>383</v>
      </c>
      <c r="I695" t="s">
        <v>383</v>
      </c>
      <c r="J695" t="s">
        <v>383</v>
      </c>
      <c r="K695">
        <v>14</v>
      </c>
      <c r="L695">
        <v>29</v>
      </c>
      <c r="M695" t="s">
        <v>226</v>
      </c>
      <c r="N695" s="6" t="s">
        <v>2519</v>
      </c>
      <c r="R695">
        <v>14</v>
      </c>
      <c r="S695">
        <v>29</v>
      </c>
      <c r="T695" t="s">
        <v>1992</v>
      </c>
      <c r="U695" t="s">
        <v>2009</v>
      </c>
      <c r="V695" t="s">
        <v>2024</v>
      </c>
      <c r="W695" t="s">
        <v>2015</v>
      </c>
      <c r="X695" t="s">
        <v>3039</v>
      </c>
    </row>
    <row r="696" spans="1:24" x14ac:dyDescent="0.3">
      <c r="A696" t="s">
        <v>1234</v>
      </c>
      <c r="B696" t="s">
        <v>56</v>
      </c>
      <c r="C696" t="s">
        <v>365</v>
      </c>
      <c r="D696">
        <v>22.2242</v>
      </c>
      <c r="E696">
        <v>7980</v>
      </c>
      <c r="F696">
        <v>48.7</v>
      </c>
      <c r="G696" s="11"/>
      <c r="H696" t="s">
        <v>1746</v>
      </c>
      <c r="I696">
        <v>7976</v>
      </c>
      <c r="J696">
        <v>3936362</v>
      </c>
      <c r="K696">
        <v>16</v>
      </c>
      <c r="L696">
        <v>41</v>
      </c>
      <c r="M696" t="s">
        <v>226</v>
      </c>
      <c r="N696" s="6" t="s">
        <v>2520</v>
      </c>
      <c r="R696">
        <v>16</v>
      </c>
      <c r="S696">
        <v>41</v>
      </c>
      <c r="T696" t="s">
        <v>1993</v>
      </c>
      <c r="U696" t="s">
        <v>2009</v>
      </c>
      <c r="V696" t="s">
        <v>2024</v>
      </c>
      <c r="W696" t="s">
        <v>2016</v>
      </c>
      <c r="X696" t="s">
        <v>2039</v>
      </c>
    </row>
    <row r="697" spans="1:24" x14ac:dyDescent="0.3">
      <c r="A697" t="s">
        <v>1235</v>
      </c>
      <c r="B697" t="s">
        <v>62</v>
      </c>
      <c r="D697">
        <v>24.158200000000001</v>
      </c>
      <c r="E697">
        <v>8676</v>
      </c>
      <c r="F697">
        <v>47.3</v>
      </c>
      <c r="G697" s="11"/>
      <c r="H697" t="s">
        <v>340</v>
      </c>
      <c r="I697">
        <v>8676</v>
      </c>
      <c r="J697">
        <v>3958001</v>
      </c>
      <c r="K697">
        <v>19</v>
      </c>
      <c r="L697">
        <v>42</v>
      </c>
      <c r="M697" t="s">
        <v>226</v>
      </c>
      <c r="N697" s="6" t="s">
        <v>2521</v>
      </c>
      <c r="R697">
        <v>19</v>
      </c>
      <c r="S697">
        <v>42</v>
      </c>
      <c r="T697" t="s">
        <v>1993</v>
      </c>
      <c r="U697" t="s">
        <v>2009</v>
      </c>
      <c r="V697" t="s">
        <v>2024</v>
      </c>
      <c r="W697" t="s">
        <v>2016</v>
      </c>
      <c r="X697" t="s">
        <v>2039</v>
      </c>
    </row>
    <row r="698" spans="1:24" x14ac:dyDescent="0.3">
      <c r="A698" t="s">
        <v>1236</v>
      </c>
      <c r="B698" t="s">
        <v>61</v>
      </c>
      <c r="D698">
        <v>22.501999999999999</v>
      </c>
      <c r="E698">
        <v>8707</v>
      </c>
      <c r="F698">
        <v>47.5</v>
      </c>
      <c r="G698" s="11"/>
      <c r="H698" t="s">
        <v>1746</v>
      </c>
      <c r="I698">
        <v>7033</v>
      </c>
      <c r="J698">
        <v>3906683</v>
      </c>
      <c r="K698">
        <v>19</v>
      </c>
      <c r="L698">
        <v>43</v>
      </c>
      <c r="M698" t="s">
        <v>226</v>
      </c>
      <c r="N698" s="6" t="s">
        <v>2522</v>
      </c>
      <c r="R698">
        <v>19</v>
      </c>
      <c r="S698">
        <v>43</v>
      </c>
      <c r="T698" t="s">
        <v>1993</v>
      </c>
      <c r="U698" t="s">
        <v>2009</v>
      </c>
      <c r="V698" t="s">
        <v>2024</v>
      </c>
      <c r="W698" t="s">
        <v>2016</v>
      </c>
      <c r="X698" t="s">
        <v>2039</v>
      </c>
    </row>
    <row r="699" spans="1:24" x14ac:dyDescent="0.3">
      <c r="A699" t="s">
        <v>1238</v>
      </c>
      <c r="B699" t="s">
        <v>519</v>
      </c>
      <c r="D699">
        <v>33.51</v>
      </c>
      <c r="E699">
        <v>18204</v>
      </c>
      <c r="F699">
        <v>52.54</v>
      </c>
      <c r="G699" s="11"/>
      <c r="H699" t="s">
        <v>340</v>
      </c>
      <c r="I699">
        <v>9102</v>
      </c>
      <c r="J699">
        <v>4659768</v>
      </c>
      <c r="K699">
        <v>5</v>
      </c>
      <c r="L699">
        <v>35</v>
      </c>
      <c r="M699" t="s">
        <v>227</v>
      </c>
      <c r="N699" s="6" t="s">
        <v>2329</v>
      </c>
      <c r="O699">
        <v>0</v>
      </c>
      <c r="P699">
        <v>35</v>
      </c>
      <c r="Q699">
        <v>19</v>
      </c>
      <c r="R699">
        <v>0</v>
      </c>
      <c r="S699">
        <v>35</v>
      </c>
      <c r="T699" t="s">
        <v>1994</v>
      </c>
      <c r="U699" t="s">
        <v>2009</v>
      </c>
      <c r="V699" t="s">
        <v>2024</v>
      </c>
      <c r="W699" t="s">
        <v>2016</v>
      </c>
      <c r="X699" t="s">
        <v>2039</v>
      </c>
    </row>
    <row r="700" spans="1:24" x14ac:dyDescent="0.3">
      <c r="A700" t="s">
        <v>1239</v>
      </c>
      <c r="B700" t="s">
        <v>120</v>
      </c>
      <c r="D700">
        <v>97.185000000000002</v>
      </c>
      <c r="E700">
        <v>12346</v>
      </c>
      <c r="F700">
        <v>46.4</v>
      </c>
      <c r="G700" s="11"/>
      <c r="H700" t="s">
        <v>1746</v>
      </c>
      <c r="I700">
        <v>12324</v>
      </c>
      <c r="J700">
        <v>4666832</v>
      </c>
      <c r="K700">
        <v>3</v>
      </c>
      <c r="L700">
        <v>36</v>
      </c>
      <c r="M700" t="s">
        <v>227</v>
      </c>
      <c r="N700" s="6" t="s">
        <v>2523</v>
      </c>
      <c r="R700">
        <v>3</v>
      </c>
      <c r="S700">
        <v>36</v>
      </c>
      <c r="T700" t="s">
        <v>397</v>
      </c>
      <c r="U700" t="s">
        <v>2009</v>
      </c>
      <c r="V700" t="s">
        <v>2024</v>
      </c>
      <c r="W700" t="s">
        <v>2016</v>
      </c>
      <c r="X700" t="s">
        <v>2039</v>
      </c>
    </row>
    <row r="701" spans="1:24" x14ac:dyDescent="0.3">
      <c r="A701" t="s">
        <v>1240</v>
      </c>
      <c r="B701" t="s">
        <v>575</v>
      </c>
      <c r="D701">
        <v>171.435</v>
      </c>
      <c r="E701">
        <v>12382</v>
      </c>
      <c r="F701">
        <v>46.5</v>
      </c>
      <c r="G701" s="11"/>
      <c r="H701" t="s">
        <v>340</v>
      </c>
      <c r="I701">
        <v>12380</v>
      </c>
      <c r="J701">
        <v>4702511</v>
      </c>
      <c r="K701">
        <v>3</v>
      </c>
      <c r="L701">
        <v>30</v>
      </c>
      <c r="M701" t="s">
        <v>226</v>
      </c>
      <c r="N701" s="6" t="s">
        <v>2524</v>
      </c>
      <c r="R701">
        <v>3</v>
      </c>
      <c r="S701">
        <v>30</v>
      </c>
      <c r="T701" t="s">
        <v>397</v>
      </c>
      <c r="U701" t="s">
        <v>2009</v>
      </c>
      <c r="V701" t="s">
        <v>2024</v>
      </c>
      <c r="W701" t="s">
        <v>2016</v>
      </c>
      <c r="X701" t="s">
        <v>2039</v>
      </c>
    </row>
    <row r="702" spans="1:24" x14ac:dyDescent="0.3">
      <c r="A702" t="s">
        <v>1241</v>
      </c>
      <c r="B702" t="s">
        <v>425</v>
      </c>
      <c r="D702">
        <v>124.946</v>
      </c>
      <c r="E702">
        <v>10058</v>
      </c>
      <c r="F702">
        <v>44.9</v>
      </c>
      <c r="G702" s="11"/>
      <c r="H702" t="s">
        <v>1746</v>
      </c>
      <c r="I702">
        <v>7494</v>
      </c>
      <c r="J702">
        <v>3279832</v>
      </c>
      <c r="K702">
        <v>12</v>
      </c>
      <c r="L702">
        <v>34</v>
      </c>
      <c r="M702" t="s">
        <v>226</v>
      </c>
      <c r="N702" s="6" t="s">
        <v>2525</v>
      </c>
      <c r="R702">
        <v>12</v>
      </c>
      <c r="S702">
        <v>34</v>
      </c>
      <c r="T702" t="s">
        <v>397</v>
      </c>
      <c r="U702" t="s">
        <v>2009</v>
      </c>
      <c r="V702" t="s">
        <v>2024</v>
      </c>
      <c r="W702" t="s">
        <v>2016</v>
      </c>
      <c r="X702" t="s">
        <v>2039</v>
      </c>
    </row>
    <row r="703" spans="1:24" x14ac:dyDescent="0.3">
      <c r="A703" t="s">
        <v>1243</v>
      </c>
      <c r="B703" t="s">
        <v>250</v>
      </c>
      <c r="D703">
        <v>199.2</v>
      </c>
      <c r="F703">
        <v>41</v>
      </c>
      <c r="G703" s="11"/>
      <c r="H703" t="s">
        <v>383</v>
      </c>
      <c r="I703" t="s">
        <v>383</v>
      </c>
      <c r="J703" t="s">
        <v>383</v>
      </c>
      <c r="K703">
        <v>5</v>
      </c>
      <c r="L703">
        <v>25</v>
      </c>
      <c r="M703" t="s">
        <v>227</v>
      </c>
      <c r="N703" s="6" t="s">
        <v>2526</v>
      </c>
      <c r="R703">
        <v>5</v>
      </c>
      <c r="S703">
        <v>25</v>
      </c>
      <c r="T703" t="s">
        <v>1995</v>
      </c>
      <c r="U703" t="s">
        <v>2009</v>
      </c>
      <c r="V703" t="s">
        <v>2024</v>
      </c>
      <c r="W703" t="s">
        <v>2015</v>
      </c>
      <c r="X703" t="s">
        <v>3046</v>
      </c>
    </row>
    <row r="704" spans="1:24" x14ac:dyDescent="0.3">
      <c r="A704" t="s">
        <v>1242</v>
      </c>
      <c r="B704" t="s">
        <v>249</v>
      </c>
      <c r="D704">
        <v>329</v>
      </c>
      <c r="E704">
        <v>23153</v>
      </c>
      <c r="F704">
        <v>35.5</v>
      </c>
      <c r="G704" s="8" t="s">
        <v>2158</v>
      </c>
      <c r="H704" t="s">
        <v>383</v>
      </c>
      <c r="I704" t="s">
        <v>383</v>
      </c>
      <c r="J704" t="s">
        <v>383</v>
      </c>
      <c r="K704">
        <v>31</v>
      </c>
      <c r="L704">
        <v>5</v>
      </c>
      <c r="M704" t="s">
        <v>227</v>
      </c>
      <c r="N704" s="6" t="s">
        <v>2527</v>
      </c>
      <c r="O704">
        <v>0</v>
      </c>
      <c r="P704">
        <v>33</v>
      </c>
      <c r="Q704">
        <v>8</v>
      </c>
      <c r="R704">
        <v>0</v>
      </c>
      <c r="S704">
        <v>33</v>
      </c>
      <c r="T704" t="s">
        <v>1995</v>
      </c>
      <c r="U704" t="s">
        <v>2009</v>
      </c>
      <c r="V704" t="s">
        <v>2024</v>
      </c>
      <c r="W704" t="s">
        <v>2015</v>
      </c>
      <c r="X704" t="s">
        <v>3046</v>
      </c>
    </row>
    <row r="705" spans="1:24" x14ac:dyDescent="0.3">
      <c r="A705" t="s">
        <v>1392</v>
      </c>
      <c r="B705" t="s">
        <v>733</v>
      </c>
      <c r="D705">
        <v>37.1</v>
      </c>
      <c r="E705">
        <v>8297</v>
      </c>
      <c r="F705">
        <v>50</v>
      </c>
      <c r="G705" s="11"/>
      <c r="H705" t="s">
        <v>1746</v>
      </c>
      <c r="I705">
        <v>8297</v>
      </c>
      <c r="J705">
        <v>3925541</v>
      </c>
      <c r="K705">
        <v>15</v>
      </c>
      <c r="L705">
        <v>35</v>
      </c>
      <c r="M705" t="s">
        <v>227</v>
      </c>
      <c r="N705" s="6" t="s">
        <v>2528</v>
      </c>
      <c r="R705">
        <v>15</v>
      </c>
      <c r="S705">
        <v>35</v>
      </c>
      <c r="T705" t="s">
        <v>673</v>
      </c>
      <c r="U705" t="s">
        <v>2009</v>
      </c>
      <c r="V705" t="s">
        <v>2024</v>
      </c>
      <c r="W705" t="s">
        <v>2016</v>
      </c>
      <c r="X705" t="s">
        <v>2039</v>
      </c>
    </row>
    <row r="706" spans="1:24" x14ac:dyDescent="0.3">
      <c r="A706" t="s">
        <v>1676</v>
      </c>
      <c r="B706" t="s">
        <v>3873</v>
      </c>
      <c r="D706">
        <v>21.3</v>
      </c>
      <c r="E706">
        <v>6323</v>
      </c>
      <c r="F706">
        <v>51.1</v>
      </c>
      <c r="G706" s="8" t="s">
        <v>2151</v>
      </c>
      <c r="H706" t="s">
        <v>340</v>
      </c>
      <c r="I706">
        <v>7449</v>
      </c>
      <c r="J706">
        <v>4420380</v>
      </c>
      <c r="M706" t="s">
        <v>1691</v>
      </c>
      <c r="N706" s="6" t="s">
        <v>2168</v>
      </c>
      <c r="O706">
        <v>-1</v>
      </c>
      <c r="P706">
        <v>35</v>
      </c>
      <c r="Q706">
        <v>28</v>
      </c>
      <c r="R706">
        <v>-1</v>
      </c>
      <c r="S706">
        <v>35</v>
      </c>
      <c r="T706" t="s">
        <v>674</v>
      </c>
      <c r="U706" t="s">
        <v>2009</v>
      </c>
      <c r="V706" t="s">
        <v>2024</v>
      </c>
      <c r="W706" t="s">
        <v>2015</v>
      </c>
      <c r="X706" t="s">
        <v>3050</v>
      </c>
    </row>
    <row r="707" spans="1:24" x14ac:dyDescent="0.3">
      <c r="A707" t="s">
        <v>1679</v>
      </c>
      <c r="B707" t="s">
        <v>3874</v>
      </c>
      <c r="D707">
        <v>21.4</v>
      </c>
      <c r="E707">
        <v>6668</v>
      </c>
      <c r="F707">
        <v>52</v>
      </c>
      <c r="G707" s="11"/>
      <c r="H707" t="s">
        <v>340</v>
      </c>
      <c r="I707">
        <v>6887</v>
      </c>
      <c r="J707">
        <v>4067789</v>
      </c>
      <c r="M707" t="s">
        <v>1691</v>
      </c>
      <c r="N707" s="6" t="s">
        <v>2168</v>
      </c>
      <c r="O707">
        <v>1.5</v>
      </c>
      <c r="P707">
        <v>35</v>
      </c>
      <c r="Q707">
        <v>32</v>
      </c>
      <c r="R707">
        <v>1.5</v>
      </c>
      <c r="S707">
        <v>35</v>
      </c>
      <c r="T707" t="s">
        <v>674</v>
      </c>
      <c r="U707" t="s">
        <v>2009</v>
      </c>
      <c r="V707" t="s">
        <v>2024</v>
      </c>
      <c r="W707" t="s">
        <v>2015</v>
      </c>
      <c r="X707" t="s">
        <v>3050</v>
      </c>
    </row>
    <row r="708" spans="1:24" x14ac:dyDescent="0.3">
      <c r="A708" t="s">
        <v>1672</v>
      </c>
      <c r="B708" t="s">
        <v>3875</v>
      </c>
      <c r="D708">
        <v>22</v>
      </c>
      <c r="E708">
        <v>8228</v>
      </c>
      <c r="F708">
        <v>52.5</v>
      </c>
      <c r="G708" s="8" t="s">
        <v>2151</v>
      </c>
      <c r="H708" t="s">
        <v>340</v>
      </c>
      <c r="I708">
        <v>6809</v>
      </c>
      <c r="J708">
        <v>4059495</v>
      </c>
      <c r="M708" t="s">
        <v>1691</v>
      </c>
      <c r="N708" s="6" t="s">
        <v>2168</v>
      </c>
      <c r="O708">
        <v>0</v>
      </c>
      <c r="P708">
        <v>35</v>
      </c>
      <c r="Q708">
        <v>40</v>
      </c>
      <c r="R708">
        <v>0</v>
      </c>
      <c r="S708">
        <v>35</v>
      </c>
      <c r="T708" t="s">
        <v>674</v>
      </c>
      <c r="U708" t="s">
        <v>2009</v>
      </c>
      <c r="V708" t="s">
        <v>2024</v>
      </c>
      <c r="W708" t="s">
        <v>2015</v>
      </c>
      <c r="X708" t="s">
        <v>3050</v>
      </c>
    </row>
    <row r="709" spans="1:24" x14ac:dyDescent="0.3">
      <c r="A709" t="s">
        <v>1573</v>
      </c>
      <c r="B709" t="s">
        <v>3876</v>
      </c>
      <c r="D709">
        <v>32.6</v>
      </c>
      <c r="E709">
        <v>11428</v>
      </c>
      <c r="F709">
        <v>52.5</v>
      </c>
      <c r="G709" s="8" t="s">
        <v>2159</v>
      </c>
      <c r="H709" t="s">
        <v>3707</v>
      </c>
      <c r="I709">
        <v>11428</v>
      </c>
      <c r="J709">
        <v>5232845</v>
      </c>
      <c r="M709" t="s">
        <v>1691</v>
      </c>
      <c r="N709" s="6" t="s">
        <v>2168</v>
      </c>
      <c r="O709">
        <v>10</v>
      </c>
      <c r="P709">
        <v>33</v>
      </c>
      <c r="Q709">
        <v>3</v>
      </c>
      <c r="R709">
        <v>10</v>
      </c>
      <c r="S709">
        <v>33</v>
      </c>
      <c r="T709" t="s">
        <v>1996</v>
      </c>
      <c r="U709" t="s">
        <v>2009</v>
      </c>
      <c r="V709" t="s">
        <v>2024</v>
      </c>
      <c r="W709" t="s">
        <v>2015</v>
      </c>
      <c r="X709" t="s">
        <v>3039</v>
      </c>
    </row>
    <row r="710" spans="1:24" x14ac:dyDescent="0.3">
      <c r="A710" t="s">
        <v>1681</v>
      </c>
      <c r="B710" t="s">
        <v>3877</v>
      </c>
      <c r="D710">
        <v>35.9</v>
      </c>
      <c r="E710">
        <v>8220</v>
      </c>
      <c r="F710">
        <v>48</v>
      </c>
      <c r="G710" s="8" t="s">
        <v>2160</v>
      </c>
      <c r="H710" t="s">
        <v>383</v>
      </c>
      <c r="I710" t="s">
        <v>383</v>
      </c>
      <c r="J710" t="s">
        <v>383</v>
      </c>
      <c r="M710" t="s">
        <v>1691</v>
      </c>
      <c r="N710" s="6" t="s">
        <v>2168</v>
      </c>
      <c r="O710">
        <v>0</v>
      </c>
      <c r="P710">
        <v>36</v>
      </c>
      <c r="Q710">
        <v>11</v>
      </c>
      <c r="R710">
        <v>0</v>
      </c>
      <c r="S710">
        <v>36</v>
      </c>
      <c r="T710" t="s">
        <v>676</v>
      </c>
      <c r="U710" t="s">
        <v>2009</v>
      </c>
      <c r="V710" t="s">
        <v>2024</v>
      </c>
      <c r="W710" t="s">
        <v>2016</v>
      </c>
      <c r="X710" t="s">
        <v>2039</v>
      </c>
    </row>
    <row r="711" spans="1:24" x14ac:dyDescent="0.3">
      <c r="A711" t="s">
        <v>1396</v>
      </c>
      <c r="B711" t="s">
        <v>3878</v>
      </c>
      <c r="D711">
        <v>45.2</v>
      </c>
      <c r="E711">
        <v>10897</v>
      </c>
      <c r="F711">
        <v>46</v>
      </c>
      <c r="G711" s="11"/>
      <c r="H711" t="s">
        <v>1746</v>
      </c>
      <c r="I711">
        <v>10819</v>
      </c>
      <c r="J711">
        <v>5302218</v>
      </c>
      <c r="M711" t="s">
        <v>1691</v>
      </c>
      <c r="N711" s="6" t="s">
        <v>2168</v>
      </c>
      <c r="O711">
        <v>15</v>
      </c>
      <c r="P711">
        <v>30</v>
      </c>
      <c r="Q711">
        <v>4</v>
      </c>
      <c r="R711">
        <v>15</v>
      </c>
      <c r="S711">
        <v>30</v>
      </c>
      <c r="T711" t="s">
        <v>676</v>
      </c>
      <c r="U711" t="s">
        <v>2009</v>
      </c>
      <c r="V711" t="s">
        <v>2024</v>
      </c>
      <c r="W711" t="s">
        <v>2016</v>
      </c>
      <c r="X711" t="s">
        <v>2039</v>
      </c>
    </row>
    <row r="712" spans="1:24" x14ac:dyDescent="0.3">
      <c r="A712" t="s">
        <v>1244</v>
      </c>
      <c r="B712" t="s">
        <v>270</v>
      </c>
      <c r="D712">
        <v>55.125999999999998</v>
      </c>
      <c r="E712">
        <v>13233</v>
      </c>
      <c r="F712">
        <v>47.5</v>
      </c>
      <c r="G712" s="11"/>
      <c r="H712" t="s">
        <v>1746</v>
      </c>
      <c r="I712">
        <v>10094</v>
      </c>
      <c r="J712">
        <v>5160393</v>
      </c>
      <c r="K712">
        <v>4</v>
      </c>
      <c r="L712">
        <v>30</v>
      </c>
      <c r="M712" t="s">
        <v>228</v>
      </c>
      <c r="N712" s="6" t="s">
        <v>2174</v>
      </c>
      <c r="O712">
        <v>0</v>
      </c>
      <c r="P712">
        <v>33.5</v>
      </c>
      <c r="Q712">
        <v>72</v>
      </c>
      <c r="R712">
        <v>0</v>
      </c>
      <c r="S712">
        <v>33.5</v>
      </c>
      <c r="T712" t="s">
        <v>676</v>
      </c>
      <c r="U712" t="s">
        <v>2009</v>
      </c>
      <c r="V712" t="s">
        <v>2024</v>
      </c>
      <c r="W712" t="s">
        <v>2016</v>
      </c>
      <c r="X712" t="s">
        <v>2039</v>
      </c>
    </row>
    <row r="713" spans="1:24" x14ac:dyDescent="0.3">
      <c r="A713" t="s">
        <v>1684</v>
      </c>
      <c r="B713" t="s">
        <v>3879</v>
      </c>
      <c r="D713">
        <v>44.4</v>
      </c>
      <c r="F713">
        <v>44</v>
      </c>
      <c r="G713" s="11"/>
      <c r="H713" t="s">
        <v>383</v>
      </c>
      <c r="I713" t="s">
        <v>383</v>
      </c>
      <c r="J713" t="s">
        <v>383</v>
      </c>
      <c r="M713" t="s">
        <v>1691</v>
      </c>
      <c r="N713" s="6" t="s">
        <v>2168</v>
      </c>
      <c r="O713">
        <v>0</v>
      </c>
      <c r="P713">
        <v>30</v>
      </c>
      <c r="Q713">
        <v>3</v>
      </c>
      <c r="R713">
        <v>0</v>
      </c>
      <c r="S713">
        <v>30</v>
      </c>
      <c r="T713" t="s">
        <v>1997</v>
      </c>
      <c r="U713" t="s">
        <v>2009</v>
      </c>
      <c r="V713" t="s">
        <v>2024</v>
      </c>
      <c r="W713" t="s">
        <v>2016</v>
      </c>
      <c r="X713" t="s">
        <v>2039</v>
      </c>
    </row>
    <row r="714" spans="1:24" x14ac:dyDescent="0.3">
      <c r="A714" t="s">
        <v>1245</v>
      </c>
      <c r="B714" t="s">
        <v>87</v>
      </c>
      <c r="D714">
        <v>31.7805</v>
      </c>
      <c r="E714">
        <v>11357</v>
      </c>
      <c r="F714">
        <v>49.1</v>
      </c>
      <c r="G714" s="11"/>
      <c r="H714" t="s">
        <v>1746</v>
      </c>
      <c r="I714">
        <v>9813</v>
      </c>
      <c r="J714">
        <v>4763312</v>
      </c>
      <c r="K714">
        <v>21</v>
      </c>
      <c r="L714">
        <v>45</v>
      </c>
      <c r="M714" t="s">
        <v>226</v>
      </c>
      <c r="N714" s="6" t="s">
        <v>2529</v>
      </c>
      <c r="R714">
        <v>21</v>
      </c>
      <c r="S714">
        <v>45</v>
      </c>
      <c r="T714" t="s">
        <v>677</v>
      </c>
      <c r="U714" t="s">
        <v>2009</v>
      </c>
      <c r="V714" t="s">
        <v>2024</v>
      </c>
      <c r="W714" t="s">
        <v>2016</v>
      </c>
      <c r="X714" t="s">
        <v>2039</v>
      </c>
    </row>
    <row r="715" spans="1:24" x14ac:dyDescent="0.3">
      <c r="A715" t="s">
        <v>1246</v>
      </c>
      <c r="B715" t="s">
        <v>131</v>
      </c>
      <c r="C715" t="s">
        <v>367</v>
      </c>
      <c r="D715">
        <v>33.832999999999998</v>
      </c>
      <c r="E715">
        <v>10221</v>
      </c>
      <c r="F715">
        <v>56.45</v>
      </c>
      <c r="G715" s="11"/>
      <c r="H715" t="s">
        <v>1746</v>
      </c>
      <c r="I715">
        <v>10233</v>
      </c>
      <c r="J715">
        <v>4470746</v>
      </c>
      <c r="K715">
        <v>12</v>
      </c>
      <c r="L715">
        <v>30</v>
      </c>
      <c r="M715" t="s">
        <v>227</v>
      </c>
      <c r="N715" s="6" t="s">
        <v>2530</v>
      </c>
      <c r="O715">
        <v>4.4000000000000004</v>
      </c>
      <c r="P715">
        <v>37</v>
      </c>
      <c r="Q715">
        <v>103</v>
      </c>
      <c r="R715">
        <v>4.4000000000000004</v>
      </c>
      <c r="S715">
        <v>37</v>
      </c>
      <c r="T715" t="s">
        <v>678</v>
      </c>
      <c r="U715" t="s">
        <v>2009</v>
      </c>
      <c r="V715" t="s">
        <v>2024</v>
      </c>
      <c r="W715" t="s">
        <v>2016</v>
      </c>
      <c r="X715" t="s">
        <v>2039</v>
      </c>
    </row>
    <row r="716" spans="1:24" x14ac:dyDescent="0.3">
      <c r="A716" t="s">
        <v>1247</v>
      </c>
      <c r="B716" t="s">
        <v>59</v>
      </c>
      <c r="D716">
        <f>AVERAGE(40.173,33.828)</f>
        <v>37.000500000000002</v>
      </c>
      <c r="E716">
        <f>AVERAGE(12343,10535)</f>
        <v>11439</v>
      </c>
      <c r="F716">
        <v>54.1</v>
      </c>
      <c r="G716" s="11"/>
      <c r="H716" t="s">
        <v>1746</v>
      </c>
      <c r="I716">
        <v>9670</v>
      </c>
      <c r="J716">
        <v>4718098</v>
      </c>
      <c r="K716">
        <v>5</v>
      </c>
      <c r="L716">
        <v>32</v>
      </c>
      <c r="M716" t="s">
        <v>226</v>
      </c>
      <c r="N716" s="6" t="s">
        <v>2531</v>
      </c>
      <c r="O716">
        <v>8</v>
      </c>
      <c r="P716">
        <v>36</v>
      </c>
      <c r="Q716">
        <v>21</v>
      </c>
      <c r="R716">
        <v>5</v>
      </c>
      <c r="S716">
        <v>36</v>
      </c>
      <c r="T716" t="s">
        <v>678</v>
      </c>
      <c r="U716" t="s">
        <v>2009</v>
      </c>
      <c r="V716" t="s">
        <v>2024</v>
      </c>
      <c r="W716" t="s">
        <v>2016</v>
      </c>
      <c r="X716" t="s">
        <v>2039</v>
      </c>
    </row>
    <row r="717" spans="1:24" x14ac:dyDescent="0.3">
      <c r="A717" t="s">
        <v>1248</v>
      </c>
      <c r="B717" t="s">
        <v>259</v>
      </c>
      <c r="D717">
        <v>17.271000000000001</v>
      </c>
      <c r="E717">
        <v>9587</v>
      </c>
      <c r="F717">
        <v>49.2</v>
      </c>
      <c r="G717" s="8" t="s">
        <v>2161</v>
      </c>
      <c r="H717" t="s">
        <v>383</v>
      </c>
      <c r="I717" t="s">
        <v>383</v>
      </c>
      <c r="J717" t="s">
        <v>383</v>
      </c>
      <c r="K717">
        <v>-3</v>
      </c>
      <c r="L717">
        <v>25</v>
      </c>
      <c r="M717" t="s">
        <v>236</v>
      </c>
      <c r="N717" s="6" t="s">
        <v>2287</v>
      </c>
      <c r="R717">
        <v>-3</v>
      </c>
      <c r="S717">
        <v>25</v>
      </c>
      <c r="T717" t="s">
        <v>1998</v>
      </c>
      <c r="U717" t="s">
        <v>2009</v>
      </c>
      <c r="V717" t="s">
        <v>2024</v>
      </c>
      <c r="W717" t="s">
        <v>2015</v>
      </c>
      <c r="X717" t="s">
        <v>3043</v>
      </c>
    </row>
    <row r="718" spans="1:24" x14ac:dyDescent="0.3">
      <c r="A718" t="s">
        <v>1249</v>
      </c>
      <c r="B718" t="s">
        <v>557</v>
      </c>
      <c r="D718">
        <v>35.72</v>
      </c>
      <c r="E718">
        <v>11084</v>
      </c>
      <c r="F718">
        <v>49</v>
      </c>
      <c r="G718" s="11"/>
      <c r="H718" t="s">
        <v>340</v>
      </c>
      <c r="I718">
        <v>11448</v>
      </c>
      <c r="J718">
        <v>5622909</v>
      </c>
      <c r="K718">
        <v>25</v>
      </c>
      <c r="L718">
        <v>43</v>
      </c>
      <c r="M718" t="s">
        <v>226</v>
      </c>
      <c r="N718" s="6" t="s">
        <v>2166</v>
      </c>
      <c r="R718">
        <v>25</v>
      </c>
      <c r="S718">
        <v>43</v>
      </c>
      <c r="T718" t="s">
        <v>1999</v>
      </c>
      <c r="U718" t="s">
        <v>2009</v>
      </c>
      <c r="V718" t="s">
        <v>2024</v>
      </c>
      <c r="W718" t="s">
        <v>2015</v>
      </c>
      <c r="X718" t="s">
        <v>3039</v>
      </c>
    </row>
    <row r="719" spans="1:24" x14ac:dyDescent="0.3">
      <c r="A719" t="s">
        <v>1250</v>
      </c>
      <c r="B719" t="s">
        <v>285</v>
      </c>
      <c r="D719">
        <f>AVERAGE(61.63,59.293)</f>
        <v>60.461500000000001</v>
      </c>
      <c r="E719">
        <f>AVERAGE(22331,21775)</f>
        <v>22053</v>
      </c>
      <c r="F719">
        <v>56.4</v>
      </c>
      <c r="G719" s="11"/>
      <c r="H719" t="s">
        <v>3707</v>
      </c>
      <c r="I719">
        <v>22331</v>
      </c>
      <c r="J719">
        <v>8946813</v>
      </c>
      <c r="K719">
        <v>3</v>
      </c>
      <c r="L719">
        <v>33</v>
      </c>
      <c r="M719" t="s">
        <v>228</v>
      </c>
      <c r="N719" s="6" t="s">
        <v>2305</v>
      </c>
      <c r="R719">
        <v>3</v>
      </c>
      <c r="S719">
        <v>33</v>
      </c>
      <c r="T719" t="s">
        <v>2000</v>
      </c>
      <c r="U719" t="s">
        <v>2009</v>
      </c>
      <c r="V719" t="s">
        <v>2024</v>
      </c>
      <c r="W719" t="s">
        <v>2015</v>
      </c>
      <c r="X719" t="s">
        <v>3039</v>
      </c>
    </row>
    <row r="720" spans="1:24" x14ac:dyDescent="0.3">
      <c r="A720" t="s">
        <v>1251</v>
      </c>
      <c r="B720" t="s">
        <v>159</v>
      </c>
      <c r="C720" t="s">
        <v>580</v>
      </c>
      <c r="D720">
        <v>14.146000000000001</v>
      </c>
      <c r="E720">
        <v>6423</v>
      </c>
      <c r="F720">
        <v>34.5</v>
      </c>
      <c r="G720" s="11"/>
      <c r="H720" t="s">
        <v>1746</v>
      </c>
      <c r="I720">
        <v>6406</v>
      </c>
      <c r="J720">
        <v>2782713</v>
      </c>
      <c r="K720">
        <v>25</v>
      </c>
      <c r="L720">
        <v>53</v>
      </c>
      <c r="M720" t="s">
        <v>228</v>
      </c>
      <c r="N720" s="6" t="s">
        <v>2383</v>
      </c>
      <c r="R720">
        <v>25</v>
      </c>
      <c r="S720">
        <v>53</v>
      </c>
      <c r="T720" t="s">
        <v>2001</v>
      </c>
      <c r="U720" t="s">
        <v>2009</v>
      </c>
      <c r="V720" t="s">
        <v>2024</v>
      </c>
      <c r="W720" t="s">
        <v>2016</v>
      </c>
      <c r="X720" t="s">
        <v>3045</v>
      </c>
    </row>
    <row r="721" spans="1:24" x14ac:dyDescent="0.3">
      <c r="A721" t="s">
        <v>1397</v>
      </c>
      <c r="B721" t="s">
        <v>3880</v>
      </c>
      <c r="D721">
        <v>51.2</v>
      </c>
      <c r="E721">
        <v>13122</v>
      </c>
      <c r="F721">
        <v>44.5</v>
      </c>
      <c r="G721" s="11"/>
      <c r="H721" t="s">
        <v>1746</v>
      </c>
      <c r="I721">
        <v>11454</v>
      </c>
      <c r="J721">
        <v>5608905</v>
      </c>
      <c r="M721" t="s">
        <v>1691</v>
      </c>
      <c r="N721" s="6" t="s">
        <v>2168</v>
      </c>
      <c r="O721">
        <v>5</v>
      </c>
      <c r="P721">
        <v>35</v>
      </c>
      <c r="Q721">
        <v>3</v>
      </c>
      <c r="R721">
        <v>5</v>
      </c>
      <c r="S721">
        <v>35</v>
      </c>
      <c r="T721" t="s">
        <v>679</v>
      </c>
      <c r="U721" t="s">
        <v>2009</v>
      </c>
      <c r="V721" t="s">
        <v>2024</v>
      </c>
      <c r="W721" t="s">
        <v>2016</v>
      </c>
      <c r="X721" t="s">
        <v>2039</v>
      </c>
    </row>
    <row r="722" spans="1:24" x14ac:dyDescent="0.3">
      <c r="A722" t="s">
        <v>1398</v>
      </c>
      <c r="B722" t="s">
        <v>3881</v>
      </c>
      <c r="D722">
        <v>42.8</v>
      </c>
      <c r="E722">
        <v>11038</v>
      </c>
      <c r="F722">
        <v>47</v>
      </c>
      <c r="G722" s="11"/>
      <c r="H722" t="s">
        <v>1746</v>
      </c>
      <c r="I722">
        <v>11037</v>
      </c>
      <c r="J722">
        <v>5574772</v>
      </c>
      <c r="M722" t="s">
        <v>1691</v>
      </c>
      <c r="N722" s="6" t="s">
        <v>2168</v>
      </c>
      <c r="O722">
        <v>0</v>
      </c>
      <c r="P722">
        <v>30</v>
      </c>
      <c r="Q722">
        <v>3</v>
      </c>
      <c r="R722">
        <v>0</v>
      </c>
      <c r="S722">
        <v>30</v>
      </c>
      <c r="T722" t="s">
        <v>679</v>
      </c>
      <c r="U722" t="s">
        <v>2009</v>
      </c>
      <c r="V722" t="s">
        <v>2024</v>
      </c>
      <c r="W722" t="s">
        <v>2016</v>
      </c>
      <c r="X722" t="s">
        <v>2039</v>
      </c>
    </row>
    <row r="723" spans="1:24" x14ac:dyDescent="0.3">
      <c r="A723" t="s">
        <v>1688</v>
      </c>
      <c r="B723" t="s">
        <v>3882</v>
      </c>
      <c r="D723">
        <v>43.5</v>
      </c>
      <c r="E723">
        <v>12349</v>
      </c>
      <c r="F723">
        <v>48.5</v>
      </c>
      <c r="G723" s="11"/>
      <c r="H723" t="s">
        <v>340</v>
      </c>
      <c r="I723">
        <v>12349</v>
      </c>
      <c r="J723">
        <v>6207103</v>
      </c>
      <c r="M723" t="s">
        <v>1691</v>
      </c>
      <c r="N723" s="6" t="s">
        <v>2168</v>
      </c>
      <c r="O723">
        <v>0</v>
      </c>
      <c r="P723">
        <v>30</v>
      </c>
      <c r="Q723">
        <v>5</v>
      </c>
      <c r="R723">
        <v>0</v>
      </c>
      <c r="S723">
        <v>30</v>
      </c>
      <c r="T723" t="s">
        <v>679</v>
      </c>
      <c r="U723" t="s">
        <v>2009</v>
      </c>
      <c r="V723" t="s">
        <v>2024</v>
      </c>
      <c r="W723" t="s">
        <v>2016</v>
      </c>
      <c r="X723" t="s">
        <v>2039</v>
      </c>
    </row>
    <row r="724" spans="1:24" x14ac:dyDescent="0.3">
      <c r="A724" t="s">
        <v>1252</v>
      </c>
      <c r="B724" t="s">
        <v>273</v>
      </c>
      <c r="D724">
        <v>10.912100000000001</v>
      </c>
      <c r="E724">
        <v>5744</v>
      </c>
      <c r="F724">
        <v>42.2</v>
      </c>
      <c r="G724" s="8" t="s">
        <v>2162</v>
      </c>
      <c r="H724" t="s">
        <v>383</v>
      </c>
      <c r="I724" t="s">
        <v>383</v>
      </c>
      <c r="J724" t="s">
        <v>383</v>
      </c>
      <c r="K724">
        <v>4</v>
      </c>
      <c r="L724">
        <v>35</v>
      </c>
      <c r="M724" t="s">
        <v>227</v>
      </c>
      <c r="N724" s="6" t="s">
        <v>2162</v>
      </c>
      <c r="R724">
        <v>4</v>
      </c>
      <c r="S724">
        <v>35</v>
      </c>
      <c r="T724" t="s">
        <v>1789</v>
      </c>
      <c r="U724" t="s">
        <v>2009</v>
      </c>
      <c r="V724" t="s">
        <v>2024</v>
      </c>
      <c r="W724" t="s">
        <v>2016</v>
      </c>
      <c r="X724" t="s">
        <v>3045</v>
      </c>
    </row>
    <row r="725" spans="1:24" x14ac:dyDescent="0.3">
      <c r="A725" t="s">
        <v>1253</v>
      </c>
      <c r="B725" t="s">
        <v>275</v>
      </c>
      <c r="D725">
        <v>11.0922</v>
      </c>
      <c r="F725">
        <v>37.6</v>
      </c>
      <c r="G725" s="11"/>
      <c r="H725" t="s">
        <v>383</v>
      </c>
      <c r="I725" t="s">
        <v>383</v>
      </c>
      <c r="J725" t="s">
        <v>383</v>
      </c>
      <c r="K725">
        <v>20</v>
      </c>
      <c r="L725">
        <v>35</v>
      </c>
      <c r="M725" t="s">
        <v>227</v>
      </c>
      <c r="N725" s="6" t="s">
        <v>2162</v>
      </c>
      <c r="R725">
        <v>20</v>
      </c>
      <c r="S725">
        <v>35</v>
      </c>
      <c r="T725" t="s">
        <v>1789</v>
      </c>
      <c r="U725" t="s">
        <v>2009</v>
      </c>
      <c r="V725" t="s">
        <v>2024</v>
      </c>
      <c r="W725" t="s">
        <v>2016</v>
      </c>
      <c r="X725" t="s">
        <v>3045</v>
      </c>
    </row>
    <row r="726" spans="1:24" x14ac:dyDescent="0.3">
      <c r="A726" t="s">
        <v>509</v>
      </c>
      <c r="B726" t="s">
        <v>509</v>
      </c>
      <c r="D726">
        <v>11.196099999999999</v>
      </c>
      <c r="F726">
        <v>40.9</v>
      </c>
      <c r="G726" s="11"/>
      <c r="H726" t="s">
        <v>383</v>
      </c>
      <c r="I726" t="s">
        <v>383</v>
      </c>
      <c r="J726" t="s">
        <v>383</v>
      </c>
      <c r="K726">
        <v>0</v>
      </c>
      <c r="L726">
        <v>35</v>
      </c>
      <c r="M726" t="s">
        <v>227</v>
      </c>
      <c r="N726" s="6" t="s">
        <v>2234</v>
      </c>
      <c r="R726">
        <v>0</v>
      </c>
      <c r="S726">
        <v>35</v>
      </c>
      <c r="T726" t="s">
        <v>1789</v>
      </c>
      <c r="U726" t="s">
        <v>2009</v>
      </c>
      <c r="V726" t="s">
        <v>2024</v>
      </c>
      <c r="W726" t="s">
        <v>2016</v>
      </c>
      <c r="X726" t="s">
        <v>3045</v>
      </c>
    </row>
    <row r="727" spans="1:24" x14ac:dyDescent="0.3">
      <c r="A727" t="s">
        <v>1254</v>
      </c>
      <c r="B727" t="s">
        <v>276</v>
      </c>
      <c r="D727">
        <v>11.251099999999999</v>
      </c>
      <c r="F727">
        <v>38.799999999999997</v>
      </c>
      <c r="G727" s="11"/>
      <c r="H727" t="s">
        <v>383</v>
      </c>
      <c r="I727" t="s">
        <v>383</v>
      </c>
      <c r="J727" t="s">
        <v>383</v>
      </c>
      <c r="K727">
        <v>20</v>
      </c>
      <c r="L727">
        <v>40</v>
      </c>
      <c r="M727" t="s">
        <v>227</v>
      </c>
      <c r="N727" s="6" t="s">
        <v>2162</v>
      </c>
      <c r="R727">
        <v>20</v>
      </c>
      <c r="S727">
        <v>40</v>
      </c>
      <c r="T727" t="s">
        <v>1789</v>
      </c>
      <c r="U727" t="s">
        <v>2009</v>
      </c>
      <c r="V727" t="s">
        <v>2024</v>
      </c>
      <c r="W727" t="s">
        <v>2016</v>
      </c>
      <c r="X727" t="s">
        <v>3045</v>
      </c>
    </row>
    <row r="728" spans="1:24" x14ac:dyDescent="0.3">
      <c r="A728" t="s">
        <v>920</v>
      </c>
      <c r="B728" t="s">
        <v>274</v>
      </c>
      <c r="C728" t="s">
        <v>296</v>
      </c>
      <c r="D728">
        <v>10.747</v>
      </c>
      <c r="E728">
        <v>5533</v>
      </c>
      <c r="F728">
        <v>43</v>
      </c>
      <c r="G728" s="11"/>
      <c r="H728" t="s">
        <v>1746</v>
      </c>
      <c r="I728">
        <v>5540</v>
      </c>
      <c r="J728">
        <v>2470628</v>
      </c>
      <c r="K728">
        <v>15</v>
      </c>
      <c r="L728">
        <v>35</v>
      </c>
      <c r="M728" t="s">
        <v>227</v>
      </c>
      <c r="N728" s="6" t="s">
        <v>2162</v>
      </c>
      <c r="R728">
        <v>15</v>
      </c>
      <c r="S728">
        <v>35</v>
      </c>
      <c r="T728" t="s">
        <v>1789</v>
      </c>
      <c r="U728" t="s">
        <v>2009</v>
      </c>
      <c r="V728" t="s">
        <v>2024</v>
      </c>
      <c r="W728" t="s">
        <v>2016</v>
      </c>
      <c r="X728" t="s">
        <v>3045</v>
      </c>
    </row>
    <row r="729" spans="1:24" x14ac:dyDescent="0.3">
      <c r="A729" t="s">
        <v>1255</v>
      </c>
      <c r="B729" t="s">
        <v>152</v>
      </c>
      <c r="D729">
        <f>AVERAGE(20.503,20.532,20.213,20.223,20.5,20.144,20.196,20.178,20.268,20.271,20.076,20.502)</f>
        <v>20.300500000000003</v>
      </c>
      <c r="E729">
        <f>AVERAGE(6577,6814,6798,6800,7919,6751,6772,6750,6776,6764,6858,6447)</f>
        <v>6835.5</v>
      </c>
      <c r="F729">
        <v>49</v>
      </c>
      <c r="G729" s="11"/>
      <c r="H729" t="s">
        <v>1746</v>
      </c>
      <c r="I729">
        <v>6449</v>
      </c>
      <c r="J729">
        <v>3121626</v>
      </c>
      <c r="K729">
        <v>0</v>
      </c>
      <c r="L729">
        <v>30</v>
      </c>
      <c r="M729" t="s">
        <v>237</v>
      </c>
      <c r="N729" s="6" t="s">
        <v>2532</v>
      </c>
      <c r="R729">
        <v>0</v>
      </c>
      <c r="S729">
        <v>30</v>
      </c>
      <c r="T729" t="s">
        <v>2002</v>
      </c>
      <c r="U729" t="s">
        <v>2009</v>
      </c>
      <c r="V729" t="s">
        <v>2024</v>
      </c>
      <c r="W729" t="s">
        <v>2016</v>
      </c>
      <c r="X729" t="s">
        <v>3045</v>
      </c>
    </row>
    <row r="730" spans="1:24" x14ac:dyDescent="0.3">
      <c r="A730" t="s">
        <v>1699</v>
      </c>
      <c r="B730" t="s">
        <v>1732</v>
      </c>
      <c r="D730">
        <v>38.200000000000003</v>
      </c>
      <c r="E730">
        <v>16072</v>
      </c>
      <c r="F730">
        <v>53.5</v>
      </c>
      <c r="G730" s="11"/>
      <c r="H730" t="s">
        <v>1746</v>
      </c>
      <c r="I730">
        <v>16014</v>
      </c>
      <c r="J730">
        <v>7186779</v>
      </c>
      <c r="K730">
        <v>20</v>
      </c>
      <c r="L730">
        <v>44</v>
      </c>
      <c r="M730" t="s">
        <v>237</v>
      </c>
      <c r="N730" s="6" t="s">
        <v>2533</v>
      </c>
      <c r="R730">
        <v>20</v>
      </c>
      <c r="S730">
        <v>44</v>
      </c>
      <c r="T730" t="s">
        <v>2003</v>
      </c>
      <c r="U730" t="s">
        <v>2009</v>
      </c>
      <c r="V730" t="s">
        <v>2024</v>
      </c>
      <c r="W730" t="s">
        <v>2016</v>
      </c>
      <c r="X730" t="s">
        <v>2039</v>
      </c>
    </row>
    <row r="731" spans="1:24" x14ac:dyDescent="0.3">
      <c r="A731" t="s">
        <v>1256</v>
      </c>
      <c r="B731" t="s">
        <v>582</v>
      </c>
      <c r="D731">
        <v>10.199999999999999</v>
      </c>
      <c r="F731">
        <v>45</v>
      </c>
      <c r="G731" s="11"/>
      <c r="H731" t="s">
        <v>383</v>
      </c>
      <c r="I731" t="s">
        <v>383</v>
      </c>
      <c r="J731" t="s">
        <v>383</v>
      </c>
      <c r="K731">
        <v>4</v>
      </c>
      <c r="L731">
        <v>25</v>
      </c>
      <c r="M731" t="s">
        <v>236</v>
      </c>
      <c r="N731" s="6" t="s">
        <v>2534</v>
      </c>
      <c r="R731">
        <v>4</v>
      </c>
      <c r="S731">
        <v>25</v>
      </c>
      <c r="T731" t="s">
        <v>2004</v>
      </c>
      <c r="U731" t="s">
        <v>2009</v>
      </c>
      <c r="V731" t="s">
        <v>2024</v>
      </c>
      <c r="W731" t="s">
        <v>2016</v>
      </c>
      <c r="X731" t="s">
        <v>3045</v>
      </c>
    </row>
    <row r="732" spans="1:24" x14ac:dyDescent="0.3">
      <c r="A732" t="s">
        <v>1187</v>
      </c>
      <c r="B732" t="s">
        <v>242</v>
      </c>
      <c r="C732" t="s">
        <v>368</v>
      </c>
      <c r="D732">
        <v>9.5909999999999993</v>
      </c>
      <c r="E732">
        <v>4740</v>
      </c>
      <c r="F732">
        <v>38.700000000000003</v>
      </c>
      <c r="G732" s="11"/>
      <c r="H732" t="s">
        <v>340</v>
      </c>
      <c r="I732">
        <v>4740</v>
      </c>
      <c r="J732">
        <v>2382544</v>
      </c>
      <c r="K732">
        <v>20</v>
      </c>
      <c r="L732">
        <v>39</v>
      </c>
      <c r="M732" t="s">
        <v>236</v>
      </c>
      <c r="N732" s="6" t="s">
        <v>2292</v>
      </c>
      <c r="R732">
        <v>20</v>
      </c>
      <c r="S732">
        <v>39</v>
      </c>
      <c r="T732" t="s">
        <v>2004</v>
      </c>
      <c r="U732" t="s">
        <v>2009</v>
      </c>
      <c r="V732" t="s">
        <v>2024</v>
      </c>
      <c r="W732" t="s">
        <v>2016</v>
      </c>
      <c r="X732" t="s">
        <v>3045</v>
      </c>
    </row>
    <row r="733" spans="1:24" x14ac:dyDescent="0.3">
      <c r="A733" t="s">
        <v>1257</v>
      </c>
      <c r="B733" t="s">
        <v>164</v>
      </c>
      <c r="D733">
        <f>AVERAGE(9.952,9.764)</f>
        <v>9.8580000000000005</v>
      </c>
      <c r="E733">
        <f>AVERAGE(5001,4991)</f>
        <v>4996</v>
      </c>
      <c r="F733">
        <v>39.6</v>
      </c>
      <c r="G733" s="11"/>
      <c r="H733" t="s">
        <v>1746</v>
      </c>
      <c r="I733">
        <v>4987</v>
      </c>
      <c r="J733">
        <v>2475090</v>
      </c>
      <c r="K733">
        <v>10</v>
      </c>
      <c r="L733">
        <v>35</v>
      </c>
      <c r="M733" t="s">
        <v>228</v>
      </c>
      <c r="N733" s="6" t="s">
        <v>2535</v>
      </c>
      <c r="R733">
        <v>10</v>
      </c>
      <c r="S733">
        <v>35</v>
      </c>
      <c r="T733" t="s">
        <v>2004</v>
      </c>
      <c r="U733" t="s">
        <v>2009</v>
      </c>
      <c r="V733" t="s">
        <v>2024</v>
      </c>
      <c r="W733" t="s">
        <v>2016</v>
      </c>
      <c r="X733" t="s">
        <v>3045</v>
      </c>
    </row>
    <row r="734" spans="1:24" x14ac:dyDescent="0.3">
      <c r="A734" t="s">
        <v>871</v>
      </c>
      <c r="B734" t="s">
        <v>79</v>
      </c>
      <c r="D734">
        <f>AVERAGE(66.608,75.354)</f>
        <v>70.980999999999995</v>
      </c>
      <c r="E734">
        <f>AVERAGE(11539,11343)</f>
        <v>11441</v>
      </c>
      <c r="F734">
        <v>37.35</v>
      </c>
      <c r="G734" s="11"/>
      <c r="H734" t="s">
        <v>340</v>
      </c>
      <c r="I734">
        <v>11539</v>
      </c>
      <c r="J734">
        <v>5178000</v>
      </c>
      <c r="K734">
        <v>9</v>
      </c>
      <c r="L734">
        <v>40</v>
      </c>
      <c r="M734" t="s">
        <v>226</v>
      </c>
      <c r="N734" s="6" t="s">
        <v>2222</v>
      </c>
      <c r="R734">
        <v>9</v>
      </c>
      <c r="S734">
        <v>40</v>
      </c>
      <c r="T734" t="s">
        <v>601</v>
      </c>
      <c r="U734" t="s">
        <v>2009</v>
      </c>
      <c r="V734" t="s">
        <v>2024</v>
      </c>
      <c r="W734" t="s">
        <v>2016</v>
      </c>
      <c r="X734" t="s">
        <v>2039</v>
      </c>
    </row>
    <row r="735" spans="1:24" x14ac:dyDescent="0.3">
      <c r="A735" t="s">
        <v>1399</v>
      </c>
      <c r="B735" t="s">
        <v>3883</v>
      </c>
      <c r="D735">
        <v>39.700000000000003</v>
      </c>
      <c r="E735">
        <v>10942</v>
      </c>
      <c r="F735">
        <v>52</v>
      </c>
      <c r="G735" s="11"/>
      <c r="H735" t="s">
        <v>1746</v>
      </c>
      <c r="I735">
        <v>10972</v>
      </c>
      <c r="J735">
        <v>4798142</v>
      </c>
      <c r="M735" t="s">
        <v>1691</v>
      </c>
      <c r="N735" s="6" t="s">
        <v>2168</v>
      </c>
      <c r="O735">
        <v>2.5</v>
      </c>
      <c r="P735">
        <v>32.200000000000003</v>
      </c>
      <c r="Q735">
        <v>9</v>
      </c>
      <c r="R735">
        <v>2.5</v>
      </c>
      <c r="S735">
        <v>32.200000000000003</v>
      </c>
      <c r="T735" t="s">
        <v>680</v>
      </c>
      <c r="U735" t="s">
        <v>2009</v>
      </c>
      <c r="V735" t="s">
        <v>2024</v>
      </c>
      <c r="W735" t="s">
        <v>2016</v>
      </c>
      <c r="X735" t="s">
        <v>2039</v>
      </c>
    </row>
    <row r="736" spans="1:24" x14ac:dyDescent="0.3">
      <c r="H736"/>
      <c r="I736"/>
      <c r="J736"/>
    </row>
    <row r="737" spans="4:10" x14ac:dyDescent="0.3">
      <c r="D737">
        <f>MAX(D6:D735)</f>
        <v>1079.52125</v>
      </c>
      <c r="H737"/>
      <c r="I737"/>
      <c r="J737"/>
    </row>
    <row r="738" spans="4:10" x14ac:dyDescent="0.3">
      <c r="H738"/>
      <c r="I738"/>
      <c r="J738"/>
    </row>
    <row r="739" spans="4:10" x14ac:dyDescent="0.3">
      <c r="H739"/>
      <c r="I739"/>
      <c r="J739"/>
    </row>
    <row r="740" spans="4:10" x14ac:dyDescent="0.3">
      <c r="H740"/>
      <c r="I740"/>
      <c r="J740"/>
    </row>
    <row r="741" spans="4:10" x14ac:dyDescent="0.3">
      <c r="H741"/>
      <c r="I741"/>
      <c r="J741"/>
    </row>
    <row r="742" spans="4:10" x14ac:dyDescent="0.3">
      <c r="H742"/>
      <c r="I742"/>
      <c r="J742"/>
    </row>
    <row r="743" spans="4:10" x14ac:dyDescent="0.3">
      <c r="H743"/>
      <c r="I743"/>
      <c r="J743"/>
    </row>
    <row r="744" spans="4:10" x14ac:dyDescent="0.3">
      <c r="H744"/>
      <c r="I744"/>
      <c r="J744"/>
    </row>
    <row r="745" spans="4:10" x14ac:dyDescent="0.3">
      <c r="H745"/>
      <c r="I745"/>
      <c r="J745"/>
    </row>
    <row r="746" spans="4:10" ht="15.75" customHeight="1" x14ac:dyDescent="0.3">
      <c r="H746"/>
      <c r="I746"/>
      <c r="J746"/>
    </row>
    <row r="747" spans="4:10" x14ac:dyDescent="0.3">
      <c r="H747"/>
      <c r="I747"/>
      <c r="J747"/>
    </row>
    <row r="748" spans="4:10" x14ac:dyDescent="0.3">
      <c r="H748"/>
      <c r="I748"/>
      <c r="J748"/>
    </row>
    <row r="749" spans="4:10" x14ac:dyDescent="0.3">
      <c r="H749"/>
      <c r="I749"/>
      <c r="J749"/>
    </row>
    <row r="750" spans="4:10" x14ac:dyDescent="0.3">
      <c r="H750"/>
      <c r="I750"/>
      <c r="J750"/>
    </row>
    <row r="751" spans="4:10" x14ac:dyDescent="0.3">
      <c r="H751"/>
      <c r="I751"/>
      <c r="J751"/>
    </row>
    <row r="752" spans="4:10" x14ac:dyDescent="0.3">
      <c r="H752"/>
      <c r="I752"/>
      <c r="J752"/>
    </row>
    <row r="753" spans="8:10" x14ac:dyDescent="0.3">
      <c r="H753"/>
      <c r="I753"/>
      <c r="J753"/>
    </row>
    <row r="754" spans="8:10" x14ac:dyDescent="0.3">
      <c r="H754"/>
      <c r="I754"/>
      <c r="J754"/>
    </row>
    <row r="755" spans="8:10" x14ac:dyDescent="0.3">
      <c r="H755"/>
      <c r="I755"/>
      <c r="J755"/>
    </row>
    <row r="756" spans="8:10" x14ac:dyDescent="0.3">
      <c r="H756"/>
      <c r="I756"/>
      <c r="J756"/>
    </row>
    <row r="757" spans="8:10" x14ac:dyDescent="0.3">
      <c r="H757"/>
      <c r="I757"/>
      <c r="J757"/>
    </row>
    <row r="758" spans="8:10" x14ac:dyDescent="0.3">
      <c r="H758"/>
      <c r="I758"/>
      <c r="J758"/>
    </row>
    <row r="759" spans="8:10" x14ac:dyDescent="0.3">
      <c r="H759"/>
      <c r="I759"/>
      <c r="J759"/>
    </row>
    <row r="760" spans="8:10" x14ac:dyDescent="0.3">
      <c r="H760"/>
      <c r="I760"/>
      <c r="J760"/>
    </row>
    <row r="761" spans="8:10" x14ac:dyDescent="0.3">
      <c r="H761"/>
      <c r="I761"/>
      <c r="J761"/>
    </row>
    <row r="762" spans="8:10" x14ac:dyDescent="0.3">
      <c r="H762"/>
      <c r="I762"/>
      <c r="J762"/>
    </row>
    <row r="763" spans="8:10" x14ac:dyDescent="0.3">
      <c r="H763"/>
      <c r="I763"/>
      <c r="J763"/>
    </row>
    <row r="764" spans="8:10" x14ac:dyDescent="0.3">
      <c r="H764"/>
      <c r="I764"/>
      <c r="J764"/>
    </row>
    <row r="765" spans="8:10" x14ac:dyDescent="0.3">
      <c r="H765"/>
      <c r="I765"/>
      <c r="J765"/>
    </row>
    <row r="766" spans="8:10" x14ac:dyDescent="0.3">
      <c r="H766"/>
      <c r="I766"/>
      <c r="J766"/>
    </row>
    <row r="767" spans="8:10" x14ac:dyDescent="0.3">
      <c r="H767"/>
      <c r="I767"/>
      <c r="J767"/>
    </row>
    <row r="768" spans="8:10" x14ac:dyDescent="0.3">
      <c r="H768"/>
      <c r="I768"/>
      <c r="J768"/>
    </row>
    <row r="769" spans="8:10" x14ac:dyDescent="0.3">
      <c r="H769"/>
      <c r="I769"/>
      <c r="J769"/>
    </row>
    <row r="770" spans="8:10" x14ac:dyDescent="0.3">
      <c r="H770"/>
      <c r="I770"/>
      <c r="J770"/>
    </row>
    <row r="771" spans="8:10" x14ac:dyDescent="0.3">
      <c r="H771"/>
      <c r="I771"/>
      <c r="J771"/>
    </row>
    <row r="772" spans="8:10" x14ac:dyDescent="0.3">
      <c r="H772"/>
      <c r="I772"/>
      <c r="J772"/>
    </row>
    <row r="773" spans="8:10" x14ac:dyDescent="0.3">
      <c r="H773"/>
      <c r="I773"/>
      <c r="J773"/>
    </row>
    <row r="774" spans="8:10" x14ac:dyDescent="0.3">
      <c r="H774"/>
      <c r="I774"/>
      <c r="J774"/>
    </row>
    <row r="775" spans="8:10" x14ac:dyDescent="0.3">
      <c r="H775"/>
      <c r="I775"/>
      <c r="J775"/>
    </row>
    <row r="776" spans="8:10" x14ac:dyDescent="0.3">
      <c r="H776"/>
      <c r="I776"/>
      <c r="J776"/>
    </row>
    <row r="777" spans="8:10" x14ac:dyDescent="0.3">
      <c r="H777"/>
      <c r="I777"/>
      <c r="J777"/>
    </row>
    <row r="778" spans="8:10" x14ac:dyDescent="0.3">
      <c r="H778"/>
      <c r="I778"/>
      <c r="J778"/>
    </row>
    <row r="779" spans="8:10" x14ac:dyDescent="0.3">
      <c r="H779"/>
      <c r="I779"/>
      <c r="J779"/>
    </row>
    <row r="780" spans="8:10" x14ac:dyDescent="0.3">
      <c r="H780"/>
      <c r="I780"/>
      <c r="J780"/>
    </row>
    <row r="781" spans="8:10" x14ac:dyDescent="0.3">
      <c r="H781"/>
      <c r="I781"/>
      <c r="J781"/>
    </row>
    <row r="782" spans="8:10" x14ac:dyDescent="0.3">
      <c r="H782"/>
      <c r="I782"/>
      <c r="J782"/>
    </row>
    <row r="783" spans="8:10" x14ac:dyDescent="0.3">
      <c r="H783"/>
      <c r="I783"/>
      <c r="J783"/>
    </row>
    <row r="784" spans="8:10" x14ac:dyDescent="0.3">
      <c r="H784"/>
      <c r="I784"/>
      <c r="J784"/>
    </row>
    <row r="785" spans="8:10" x14ac:dyDescent="0.3">
      <c r="H785"/>
      <c r="I785"/>
      <c r="J785"/>
    </row>
    <row r="786" spans="8:10" x14ac:dyDescent="0.3">
      <c r="H786"/>
      <c r="I786"/>
      <c r="J786"/>
    </row>
    <row r="787" spans="8:10" x14ac:dyDescent="0.3">
      <c r="H787"/>
      <c r="I787"/>
      <c r="J787"/>
    </row>
    <row r="788" spans="8:10" x14ac:dyDescent="0.3">
      <c r="H788"/>
      <c r="I788"/>
      <c r="J788"/>
    </row>
    <row r="789" spans="8:10" x14ac:dyDescent="0.3">
      <c r="H789"/>
      <c r="I789"/>
      <c r="J789"/>
    </row>
    <row r="790" spans="8:10" x14ac:dyDescent="0.3">
      <c r="H790"/>
      <c r="I790"/>
      <c r="J790"/>
    </row>
    <row r="791" spans="8:10" x14ac:dyDescent="0.3">
      <c r="H791"/>
      <c r="I791"/>
      <c r="J791"/>
    </row>
    <row r="792" spans="8:10" x14ac:dyDescent="0.3">
      <c r="H792"/>
      <c r="I792"/>
      <c r="J792"/>
    </row>
    <row r="793" spans="8:10" x14ac:dyDescent="0.3">
      <c r="H793"/>
      <c r="I793"/>
      <c r="J793"/>
    </row>
    <row r="794" spans="8:10" x14ac:dyDescent="0.3">
      <c r="H794"/>
      <c r="I794"/>
      <c r="J794"/>
    </row>
    <row r="795" spans="8:10" x14ac:dyDescent="0.3">
      <c r="H795"/>
      <c r="I795"/>
      <c r="J795"/>
    </row>
    <row r="796" spans="8:10" x14ac:dyDescent="0.3">
      <c r="H796"/>
      <c r="I796"/>
      <c r="J796"/>
    </row>
    <row r="797" spans="8:10" x14ac:dyDescent="0.3">
      <c r="H797"/>
      <c r="I797"/>
      <c r="J797"/>
    </row>
    <row r="798" spans="8:10" x14ac:dyDescent="0.3">
      <c r="H798"/>
      <c r="I798"/>
      <c r="J798"/>
    </row>
    <row r="799" spans="8:10" x14ac:dyDescent="0.3">
      <c r="H799"/>
      <c r="I799"/>
      <c r="J799"/>
    </row>
    <row r="800" spans="8:10" x14ac:dyDescent="0.3">
      <c r="H800"/>
      <c r="I800"/>
      <c r="J800"/>
    </row>
    <row r="801" spans="8:10" x14ac:dyDescent="0.3">
      <c r="H801"/>
      <c r="I801"/>
      <c r="J801"/>
    </row>
    <row r="802" spans="8:10" x14ac:dyDescent="0.3">
      <c r="H802"/>
      <c r="I802"/>
      <c r="J802"/>
    </row>
    <row r="803" spans="8:10" x14ac:dyDescent="0.3">
      <c r="H803"/>
      <c r="I803"/>
      <c r="J803"/>
    </row>
    <row r="804" spans="8:10" x14ac:dyDescent="0.3">
      <c r="H804"/>
      <c r="I804"/>
      <c r="J804"/>
    </row>
    <row r="805" spans="8:10" x14ac:dyDescent="0.3">
      <c r="H805"/>
      <c r="I805"/>
      <c r="J805"/>
    </row>
    <row r="806" spans="8:10" x14ac:dyDescent="0.3">
      <c r="H806"/>
      <c r="I806"/>
      <c r="J806"/>
    </row>
    <row r="807" spans="8:10" x14ac:dyDescent="0.3">
      <c r="H807"/>
      <c r="I807"/>
      <c r="J807"/>
    </row>
    <row r="808" spans="8:10" x14ac:dyDescent="0.3">
      <c r="H808"/>
      <c r="I808"/>
      <c r="J808"/>
    </row>
    <row r="809" spans="8:10" x14ac:dyDescent="0.3">
      <c r="H809"/>
      <c r="I809"/>
      <c r="J809"/>
    </row>
    <row r="810" spans="8:10" x14ac:dyDescent="0.3">
      <c r="H810"/>
      <c r="I810"/>
      <c r="J810"/>
    </row>
    <row r="811" spans="8:10" x14ac:dyDescent="0.3">
      <c r="H811"/>
      <c r="I811"/>
      <c r="J811"/>
    </row>
    <row r="812" spans="8:10" x14ac:dyDescent="0.3">
      <c r="H812"/>
      <c r="I812"/>
      <c r="J812"/>
    </row>
    <row r="813" spans="8:10" x14ac:dyDescent="0.3">
      <c r="H813"/>
      <c r="I813"/>
      <c r="J813"/>
    </row>
    <row r="814" spans="8:10" x14ac:dyDescent="0.3">
      <c r="H814"/>
      <c r="I814"/>
      <c r="J814"/>
    </row>
    <row r="815" spans="8:10" x14ac:dyDescent="0.3">
      <c r="H815"/>
      <c r="I815"/>
      <c r="J815"/>
    </row>
    <row r="816" spans="8:10" x14ac:dyDescent="0.3">
      <c r="H816"/>
      <c r="I816"/>
      <c r="J816"/>
    </row>
    <row r="817" spans="8:10" x14ac:dyDescent="0.3">
      <c r="H817"/>
      <c r="I817"/>
      <c r="J817"/>
    </row>
    <row r="818" spans="8:10" x14ac:dyDescent="0.3">
      <c r="H818"/>
      <c r="I818"/>
      <c r="J818"/>
    </row>
    <row r="819" spans="8:10" x14ac:dyDescent="0.3">
      <c r="H819"/>
      <c r="I819"/>
      <c r="J819"/>
    </row>
    <row r="820" spans="8:10" x14ac:dyDescent="0.3">
      <c r="H820"/>
      <c r="I820"/>
      <c r="J820"/>
    </row>
    <row r="821" spans="8:10" x14ac:dyDescent="0.3">
      <c r="H821"/>
      <c r="I821"/>
      <c r="J821"/>
    </row>
    <row r="822" spans="8:10" x14ac:dyDescent="0.3">
      <c r="H822"/>
      <c r="I822"/>
      <c r="J822"/>
    </row>
    <row r="823" spans="8:10" x14ac:dyDescent="0.3">
      <c r="H823"/>
      <c r="I823"/>
      <c r="J823"/>
    </row>
    <row r="824" spans="8:10" x14ac:dyDescent="0.3">
      <c r="H824"/>
      <c r="I824"/>
      <c r="J824"/>
    </row>
    <row r="825" spans="8:10" x14ac:dyDescent="0.3">
      <c r="H825"/>
      <c r="I825"/>
      <c r="J825"/>
    </row>
    <row r="826" spans="8:10" x14ac:dyDescent="0.3">
      <c r="H826"/>
      <c r="I826"/>
      <c r="J826"/>
    </row>
    <row r="827" spans="8:10" x14ac:dyDescent="0.3">
      <c r="H827"/>
      <c r="I827"/>
      <c r="J827"/>
    </row>
    <row r="828" spans="8:10" x14ac:dyDescent="0.3">
      <c r="H828"/>
      <c r="I828"/>
      <c r="J828"/>
    </row>
    <row r="829" spans="8:10" x14ac:dyDescent="0.3">
      <c r="H829"/>
      <c r="I829"/>
      <c r="J829"/>
    </row>
    <row r="830" spans="8:10" x14ac:dyDescent="0.3">
      <c r="H830"/>
      <c r="I830"/>
      <c r="J830"/>
    </row>
    <row r="831" spans="8:10" x14ac:dyDescent="0.3">
      <c r="H831"/>
      <c r="I831"/>
      <c r="J831"/>
    </row>
    <row r="832" spans="8:10" x14ac:dyDescent="0.3">
      <c r="H832"/>
      <c r="I832"/>
      <c r="J832"/>
    </row>
    <row r="833" spans="8:10" x14ac:dyDescent="0.3">
      <c r="H833"/>
      <c r="I833"/>
      <c r="J833"/>
    </row>
    <row r="834" spans="8:10" x14ac:dyDescent="0.3">
      <c r="H834"/>
      <c r="I834"/>
      <c r="J834"/>
    </row>
    <row r="835" spans="8:10" x14ac:dyDescent="0.3">
      <c r="H835"/>
      <c r="I835"/>
      <c r="J835"/>
    </row>
    <row r="836" spans="8:10" x14ac:dyDescent="0.3">
      <c r="H836"/>
      <c r="I836"/>
      <c r="J836"/>
    </row>
    <row r="837" spans="8:10" x14ac:dyDescent="0.3">
      <c r="H837"/>
      <c r="I837"/>
      <c r="J837"/>
    </row>
    <row r="838" spans="8:10" x14ac:dyDescent="0.3">
      <c r="H838"/>
      <c r="I838"/>
      <c r="J838"/>
    </row>
    <row r="839" spans="8:10" x14ac:dyDescent="0.3">
      <c r="H839"/>
      <c r="I839"/>
      <c r="J839"/>
    </row>
    <row r="840" spans="8:10" x14ac:dyDescent="0.3">
      <c r="H840"/>
      <c r="I840"/>
      <c r="J840"/>
    </row>
    <row r="841" spans="8:10" x14ac:dyDescent="0.3">
      <c r="H841"/>
      <c r="I841"/>
      <c r="J841"/>
    </row>
    <row r="842" spans="8:10" x14ac:dyDescent="0.3">
      <c r="H842"/>
      <c r="I842"/>
      <c r="J842"/>
    </row>
    <row r="843" spans="8:10" x14ac:dyDescent="0.3">
      <c r="H843"/>
      <c r="I843"/>
      <c r="J843"/>
    </row>
    <row r="844" spans="8:10" x14ac:dyDescent="0.3">
      <c r="H844"/>
      <c r="I844"/>
      <c r="J844"/>
    </row>
    <row r="845" spans="8:10" x14ac:dyDescent="0.3">
      <c r="H845"/>
      <c r="I845"/>
      <c r="J845"/>
    </row>
    <row r="846" spans="8:10" x14ac:dyDescent="0.3">
      <c r="H846"/>
      <c r="I846"/>
      <c r="J846"/>
    </row>
    <row r="847" spans="8:10" x14ac:dyDescent="0.3">
      <c r="H847"/>
      <c r="I847"/>
      <c r="J847"/>
    </row>
    <row r="848" spans="8:10" x14ac:dyDescent="0.3">
      <c r="H848"/>
      <c r="I848"/>
      <c r="J848"/>
    </row>
    <row r="849" spans="8:10" x14ac:dyDescent="0.3">
      <c r="H849"/>
      <c r="I849"/>
      <c r="J849"/>
    </row>
    <row r="850" spans="8:10" x14ac:dyDescent="0.3">
      <c r="H850"/>
      <c r="I850"/>
      <c r="J850"/>
    </row>
    <row r="851" spans="8:10" x14ac:dyDescent="0.3">
      <c r="H851"/>
      <c r="I851"/>
      <c r="J851"/>
    </row>
    <row r="852" spans="8:10" x14ac:dyDescent="0.3">
      <c r="H852"/>
      <c r="I852"/>
      <c r="J852"/>
    </row>
    <row r="853" spans="8:10" x14ac:dyDescent="0.3">
      <c r="H853"/>
      <c r="I853"/>
      <c r="J853"/>
    </row>
    <row r="854" spans="8:10" x14ac:dyDescent="0.3">
      <c r="H854"/>
      <c r="I854"/>
      <c r="J854"/>
    </row>
    <row r="855" spans="8:10" x14ac:dyDescent="0.3">
      <c r="H855"/>
      <c r="I855"/>
      <c r="J855"/>
    </row>
    <row r="856" spans="8:10" x14ac:dyDescent="0.3">
      <c r="H856"/>
      <c r="I856"/>
      <c r="J856"/>
    </row>
    <row r="857" spans="8:10" x14ac:dyDescent="0.3">
      <c r="H857"/>
      <c r="I857"/>
      <c r="J857"/>
    </row>
    <row r="858" spans="8:10" x14ac:dyDescent="0.3">
      <c r="H858"/>
      <c r="I858"/>
      <c r="J858"/>
    </row>
    <row r="859" spans="8:10" x14ac:dyDescent="0.3">
      <c r="H859"/>
      <c r="I859"/>
      <c r="J859"/>
    </row>
    <row r="860" spans="8:10" x14ac:dyDescent="0.3">
      <c r="H860"/>
      <c r="I860"/>
      <c r="J860"/>
    </row>
    <row r="861" spans="8:10" x14ac:dyDescent="0.3">
      <c r="H861"/>
      <c r="I861"/>
      <c r="J861"/>
    </row>
    <row r="862" spans="8:10" x14ac:dyDescent="0.3">
      <c r="H862"/>
      <c r="I862"/>
      <c r="J862"/>
    </row>
    <row r="863" spans="8:10" x14ac:dyDescent="0.3">
      <c r="H863"/>
      <c r="I863"/>
      <c r="J863"/>
    </row>
    <row r="864" spans="8:10" x14ac:dyDescent="0.3">
      <c r="H864"/>
      <c r="I864"/>
      <c r="J864"/>
    </row>
    <row r="865" spans="8:10" x14ac:dyDescent="0.3">
      <c r="H865"/>
      <c r="I865"/>
      <c r="J865"/>
    </row>
    <row r="866" spans="8:10" x14ac:dyDescent="0.3">
      <c r="H866"/>
      <c r="I866"/>
      <c r="J866"/>
    </row>
    <row r="867" spans="8:10" x14ac:dyDescent="0.3">
      <c r="H867"/>
      <c r="I867"/>
      <c r="J867"/>
    </row>
    <row r="868" spans="8:10" x14ac:dyDescent="0.3">
      <c r="H868"/>
      <c r="I868"/>
      <c r="J868"/>
    </row>
    <row r="869" spans="8:10" x14ac:dyDescent="0.3">
      <c r="H869"/>
      <c r="I869"/>
      <c r="J869"/>
    </row>
    <row r="870" spans="8:10" x14ac:dyDescent="0.3">
      <c r="H870"/>
      <c r="I870"/>
      <c r="J870"/>
    </row>
    <row r="871" spans="8:10" x14ac:dyDescent="0.3">
      <c r="H871"/>
      <c r="I871"/>
      <c r="J871"/>
    </row>
    <row r="872" spans="8:10" x14ac:dyDescent="0.3">
      <c r="H872"/>
      <c r="I872"/>
      <c r="J872"/>
    </row>
    <row r="873" spans="8:10" x14ac:dyDescent="0.3">
      <c r="H873"/>
      <c r="I873"/>
      <c r="J873"/>
    </row>
    <row r="874" spans="8:10" x14ac:dyDescent="0.3">
      <c r="H874"/>
      <c r="I874"/>
      <c r="J874"/>
    </row>
    <row r="875" spans="8:10" x14ac:dyDescent="0.3">
      <c r="H875"/>
      <c r="I875"/>
      <c r="J875"/>
    </row>
    <row r="876" spans="8:10" x14ac:dyDescent="0.3">
      <c r="H876"/>
      <c r="I876"/>
      <c r="J876"/>
    </row>
    <row r="877" spans="8:10" x14ac:dyDescent="0.3">
      <c r="H877"/>
      <c r="I877"/>
      <c r="J877"/>
    </row>
    <row r="878" spans="8:10" x14ac:dyDescent="0.3">
      <c r="H878"/>
      <c r="I878"/>
      <c r="J878"/>
    </row>
    <row r="879" spans="8:10" x14ac:dyDescent="0.3">
      <c r="H879"/>
      <c r="I879"/>
      <c r="J879"/>
    </row>
    <row r="880" spans="8:10" x14ac:dyDescent="0.3">
      <c r="H880"/>
      <c r="I880"/>
      <c r="J880"/>
    </row>
    <row r="881" spans="8:10" x14ac:dyDescent="0.3">
      <c r="H881"/>
      <c r="I881"/>
      <c r="J881"/>
    </row>
    <row r="882" spans="8:10" x14ac:dyDescent="0.3">
      <c r="H882"/>
      <c r="I882"/>
      <c r="J882"/>
    </row>
    <row r="883" spans="8:10" x14ac:dyDescent="0.3">
      <c r="H883"/>
      <c r="I883"/>
      <c r="J883"/>
    </row>
    <row r="884" spans="8:10" x14ac:dyDescent="0.3">
      <c r="H884"/>
      <c r="I884"/>
      <c r="J884"/>
    </row>
    <row r="885" spans="8:10" x14ac:dyDescent="0.3">
      <c r="H885"/>
      <c r="I885"/>
      <c r="J885"/>
    </row>
    <row r="886" spans="8:10" x14ac:dyDescent="0.3">
      <c r="H886"/>
      <c r="I886"/>
      <c r="J886"/>
    </row>
    <row r="887" spans="8:10" x14ac:dyDescent="0.3">
      <c r="H887"/>
      <c r="I887"/>
      <c r="J887"/>
    </row>
    <row r="888" spans="8:10" x14ac:dyDescent="0.3">
      <c r="H888"/>
      <c r="I888"/>
      <c r="J888"/>
    </row>
    <row r="889" spans="8:10" x14ac:dyDescent="0.3">
      <c r="H889"/>
      <c r="I889"/>
      <c r="J889"/>
    </row>
    <row r="890" spans="8:10" x14ac:dyDescent="0.3">
      <c r="H890"/>
      <c r="I890"/>
      <c r="J890"/>
    </row>
    <row r="891" spans="8:10" x14ac:dyDescent="0.3">
      <c r="H891"/>
      <c r="I891"/>
      <c r="J891"/>
    </row>
    <row r="892" spans="8:10" x14ac:dyDescent="0.3">
      <c r="H892"/>
      <c r="I892"/>
      <c r="J892"/>
    </row>
    <row r="893" spans="8:10" x14ac:dyDescent="0.3">
      <c r="H893"/>
      <c r="I893"/>
      <c r="J893"/>
    </row>
    <row r="894" spans="8:10" x14ac:dyDescent="0.3">
      <c r="H894"/>
      <c r="I894"/>
      <c r="J894"/>
    </row>
    <row r="895" spans="8:10" x14ac:dyDescent="0.3">
      <c r="H895"/>
      <c r="I895"/>
      <c r="J895"/>
    </row>
    <row r="896" spans="8:10" x14ac:dyDescent="0.3">
      <c r="H896"/>
      <c r="I896"/>
      <c r="J896"/>
    </row>
    <row r="897" spans="8:10" x14ac:dyDescent="0.3">
      <c r="H897"/>
      <c r="I897"/>
      <c r="J897"/>
    </row>
    <row r="898" spans="8:10" x14ac:dyDescent="0.3">
      <c r="H898"/>
      <c r="I898"/>
      <c r="J898"/>
    </row>
    <row r="899" spans="8:10" x14ac:dyDescent="0.3">
      <c r="H899"/>
      <c r="I899"/>
      <c r="J899"/>
    </row>
    <row r="900" spans="8:10" x14ac:dyDescent="0.3">
      <c r="H900"/>
      <c r="I900"/>
      <c r="J900"/>
    </row>
    <row r="901" spans="8:10" x14ac:dyDescent="0.3">
      <c r="H901"/>
      <c r="I901"/>
      <c r="J901"/>
    </row>
    <row r="902" spans="8:10" x14ac:dyDescent="0.3">
      <c r="H902"/>
      <c r="I902"/>
      <c r="J902"/>
    </row>
    <row r="903" spans="8:10" x14ac:dyDescent="0.3">
      <c r="H903"/>
      <c r="I903"/>
      <c r="J903"/>
    </row>
    <row r="904" spans="8:10" x14ac:dyDescent="0.3">
      <c r="H904"/>
      <c r="I904"/>
      <c r="J904"/>
    </row>
    <row r="905" spans="8:10" x14ac:dyDescent="0.3">
      <c r="H905"/>
      <c r="I905"/>
      <c r="J905"/>
    </row>
    <row r="906" spans="8:10" x14ac:dyDescent="0.3">
      <c r="H906"/>
      <c r="I906"/>
      <c r="J906"/>
    </row>
    <row r="907" spans="8:10" x14ac:dyDescent="0.3">
      <c r="H907"/>
      <c r="I907"/>
      <c r="J907"/>
    </row>
    <row r="908" spans="8:10" x14ac:dyDescent="0.3">
      <c r="H908"/>
      <c r="I908"/>
      <c r="J908"/>
    </row>
    <row r="909" spans="8:10" x14ac:dyDescent="0.3">
      <c r="H909"/>
      <c r="I909"/>
      <c r="J909"/>
    </row>
    <row r="910" spans="8:10" x14ac:dyDescent="0.3">
      <c r="H910"/>
      <c r="I910"/>
      <c r="J910"/>
    </row>
    <row r="911" spans="8:10" x14ac:dyDescent="0.3">
      <c r="H911"/>
      <c r="I911"/>
      <c r="J911"/>
    </row>
    <row r="912" spans="8:10" x14ac:dyDescent="0.3">
      <c r="H912"/>
      <c r="I912"/>
      <c r="J912"/>
    </row>
    <row r="913" spans="8:10" x14ac:dyDescent="0.3">
      <c r="H913"/>
      <c r="I913"/>
      <c r="J913"/>
    </row>
    <row r="914" spans="8:10" x14ac:dyDescent="0.3">
      <c r="H914"/>
      <c r="I914"/>
      <c r="J914"/>
    </row>
    <row r="915" spans="8:10" x14ac:dyDescent="0.3">
      <c r="H915"/>
      <c r="I915"/>
      <c r="J915"/>
    </row>
    <row r="916" spans="8:10" x14ac:dyDescent="0.3">
      <c r="H916"/>
      <c r="I916"/>
      <c r="J916"/>
    </row>
    <row r="917" spans="8:10" x14ac:dyDescent="0.3">
      <c r="H917"/>
      <c r="I917"/>
      <c r="J917"/>
    </row>
    <row r="918" spans="8:10" x14ac:dyDescent="0.3">
      <c r="H918"/>
      <c r="I918"/>
      <c r="J918"/>
    </row>
    <row r="919" spans="8:10" x14ac:dyDescent="0.3">
      <c r="H919"/>
      <c r="I919"/>
      <c r="J919"/>
    </row>
    <row r="920" spans="8:10" x14ac:dyDescent="0.3">
      <c r="H920"/>
      <c r="I920"/>
      <c r="J920"/>
    </row>
    <row r="921" spans="8:10" x14ac:dyDescent="0.3">
      <c r="H921"/>
      <c r="I921"/>
      <c r="J921"/>
    </row>
    <row r="922" spans="8:10" x14ac:dyDescent="0.3">
      <c r="H922"/>
      <c r="I922"/>
      <c r="J922"/>
    </row>
    <row r="923" spans="8:10" x14ac:dyDescent="0.3">
      <c r="H923"/>
      <c r="I923"/>
      <c r="J923"/>
    </row>
    <row r="924" spans="8:10" x14ac:dyDescent="0.3">
      <c r="H924"/>
      <c r="I924"/>
      <c r="J924"/>
    </row>
    <row r="925" spans="8:10" x14ac:dyDescent="0.3">
      <c r="H925"/>
      <c r="I925"/>
      <c r="J925"/>
    </row>
    <row r="926" spans="8:10" x14ac:dyDescent="0.3">
      <c r="H926"/>
      <c r="I926"/>
      <c r="J926"/>
    </row>
    <row r="927" spans="8:10" x14ac:dyDescent="0.3">
      <c r="H927"/>
      <c r="I927"/>
      <c r="J927"/>
    </row>
    <row r="928" spans="8:10" x14ac:dyDescent="0.3">
      <c r="H928"/>
      <c r="I928"/>
      <c r="J928"/>
    </row>
    <row r="929" spans="8:10" x14ac:dyDescent="0.3">
      <c r="H929"/>
      <c r="I929"/>
      <c r="J929"/>
    </row>
    <row r="930" spans="8:10" x14ac:dyDescent="0.3">
      <c r="H930"/>
      <c r="I930"/>
      <c r="J930"/>
    </row>
    <row r="931" spans="8:10" x14ac:dyDescent="0.3">
      <c r="H931"/>
      <c r="I931"/>
      <c r="J931"/>
    </row>
    <row r="932" spans="8:10" x14ac:dyDescent="0.3">
      <c r="H932"/>
      <c r="I932"/>
      <c r="J932"/>
    </row>
    <row r="933" spans="8:10" x14ac:dyDescent="0.3">
      <c r="H933"/>
      <c r="I933"/>
      <c r="J933"/>
    </row>
    <row r="934" spans="8:10" x14ac:dyDescent="0.3">
      <c r="H934"/>
      <c r="I934"/>
      <c r="J934"/>
    </row>
    <row r="935" spans="8:10" x14ac:dyDescent="0.3">
      <c r="H935"/>
      <c r="I935"/>
      <c r="J935"/>
    </row>
    <row r="936" spans="8:10" x14ac:dyDescent="0.3">
      <c r="H936"/>
      <c r="I936"/>
      <c r="J936"/>
    </row>
    <row r="937" spans="8:10" x14ac:dyDescent="0.3">
      <c r="H937"/>
      <c r="I937"/>
      <c r="J937"/>
    </row>
    <row r="938" spans="8:10" x14ac:dyDescent="0.3">
      <c r="H938"/>
      <c r="I938"/>
      <c r="J938"/>
    </row>
    <row r="939" spans="8:10" x14ac:dyDescent="0.3">
      <c r="H939"/>
      <c r="I939"/>
      <c r="J939"/>
    </row>
    <row r="940" spans="8:10" x14ac:dyDescent="0.3">
      <c r="H940"/>
      <c r="I940"/>
      <c r="J940"/>
    </row>
    <row r="941" spans="8:10" x14ac:dyDescent="0.3">
      <c r="H941"/>
      <c r="I941"/>
      <c r="J941"/>
    </row>
    <row r="942" spans="8:10" x14ac:dyDescent="0.3">
      <c r="H942"/>
      <c r="I942"/>
      <c r="J942"/>
    </row>
    <row r="943" spans="8:10" x14ac:dyDescent="0.3">
      <c r="H943"/>
      <c r="I943"/>
      <c r="J943"/>
    </row>
    <row r="944" spans="8:10" x14ac:dyDescent="0.3">
      <c r="H944"/>
      <c r="I944"/>
      <c r="J944"/>
    </row>
    <row r="945" spans="8:10" x14ac:dyDescent="0.3">
      <c r="H945"/>
      <c r="I945"/>
      <c r="J945"/>
    </row>
    <row r="946" spans="8:10" x14ac:dyDescent="0.3">
      <c r="H946"/>
      <c r="I946"/>
      <c r="J946"/>
    </row>
    <row r="947" spans="8:10" x14ac:dyDescent="0.3">
      <c r="H947"/>
      <c r="I947"/>
      <c r="J947"/>
    </row>
    <row r="948" spans="8:10" x14ac:dyDescent="0.3">
      <c r="H948"/>
      <c r="I948"/>
      <c r="J948"/>
    </row>
    <row r="949" spans="8:10" x14ac:dyDescent="0.3">
      <c r="H949"/>
      <c r="I949"/>
      <c r="J949"/>
    </row>
    <row r="950" spans="8:10" x14ac:dyDescent="0.3">
      <c r="H950"/>
      <c r="I950"/>
      <c r="J950"/>
    </row>
    <row r="951" spans="8:10" x14ac:dyDescent="0.3">
      <c r="H951"/>
      <c r="I951"/>
      <c r="J951"/>
    </row>
    <row r="952" spans="8:10" x14ac:dyDescent="0.3">
      <c r="H952"/>
      <c r="I952"/>
      <c r="J952"/>
    </row>
    <row r="953" spans="8:10" x14ac:dyDescent="0.3">
      <c r="H953"/>
      <c r="I953"/>
      <c r="J953"/>
    </row>
    <row r="954" spans="8:10" x14ac:dyDescent="0.3">
      <c r="H954"/>
      <c r="I954"/>
      <c r="J954"/>
    </row>
    <row r="955" spans="8:10" x14ac:dyDescent="0.3">
      <c r="H955"/>
      <c r="I955"/>
      <c r="J955"/>
    </row>
    <row r="956" spans="8:10" x14ac:dyDescent="0.3">
      <c r="H956"/>
      <c r="I956"/>
      <c r="J956"/>
    </row>
    <row r="957" spans="8:10" x14ac:dyDescent="0.3">
      <c r="H957"/>
      <c r="I957"/>
      <c r="J957"/>
    </row>
    <row r="958" spans="8:10" x14ac:dyDescent="0.3">
      <c r="H958"/>
      <c r="I958"/>
      <c r="J958"/>
    </row>
    <row r="959" spans="8:10" x14ac:dyDescent="0.3">
      <c r="H959"/>
      <c r="I959"/>
      <c r="J959"/>
    </row>
    <row r="960" spans="8:10" x14ac:dyDescent="0.3">
      <c r="H960"/>
      <c r="I960"/>
      <c r="J960"/>
    </row>
    <row r="961" spans="8:10" x14ac:dyDescent="0.3">
      <c r="H961"/>
      <c r="I961"/>
      <c r="J961"/>
    </row>
    <row r="962" spans="8:10" x14ac:dyDescent="0.3">
      <c r="H962"/>
      <c r="I962"/>
      <c r="J962"/>
    </row>
    <row r="963" spans="8:10" x14ac:dyDescent="0.3">
      <c r="H963"/>
      <c r="I963"/>
      <c r="J963"/>
    </row>
    <row r="964" spans="8:10" x14ac:dyDescent="0.3">
      <c r="H964"/>
      <c r="I964"/>
      <c r="J964"/>
    </row>
    <row r="965" spans="8:10" x14ac:dyDescent="0.3">
      <c r="H965"/>
      <c r="I965"/>
      <c r="J965"/>
    </row>
    <row r="966" spans="8:10" x14ac:dyDescent="0.3">
      <c r="H966"/>
      <c r="I966"/>
      <c r="J966"/>
    </row>
    <row r="967" spans="8:10" x14ac:dyDescent="0.3">
      <c r="H967"/>
      <c r="I967"/>
      <c r="J967"/>
    </row>
    <row r="968" spans="8:10" x14ac:dyDescent="0.3">
      <c r="H968"/>
      <c r="I968"/>
      <c r="J968"/>
    </row>
    <row r="969" spans="8:10" x14ac:dyDescent="0.3">
      <c r="H969"/>
      <c r="I969"/>
      <c r="J969"/>
    </row>
    <row r="970" spans="8:10" x14ac:dyDescent="0.3">
      <c r="H970"/>
      <c r="I970"/>
      <c r="J970"/>
    </row>
    <row r="971" spans="8:10" x14ac:dyDescent="0.3">
      <c r="H971"/>
      <c r="I971"/>
      <c r="J971"/>
    </row>
    <row r="972" spans="8:10" x14ac:dyDescent="0.3">
      <c r="H972"/>
      <c r="I972"/>
      <c r="J972"/>
    </row>
    <row r="973" spans="8:10" x14ac:dyDescent="0.3">
      <c r="H973"/>
      <c r="I973"/>
      <c r="J973"/>
    </row>
    <row r="974" spans="8:10" x14ac:dyDescent="0.3">
      <c r="H974"/>
      <c r="I974"/>
      <c r="J974"/>
    </row>
    <row r="975" spans="8:10" x14ac:dyDescent="0.3">
      <c r="H975"/>
      <c r="I975"/>
      <c r="J975"/>
    </row>
    <row r="976" spans="8:10" x14ac:dyDescent="0.3">
      <c r="H976"/>
      <c r="I976"/>
      <c r="J976"/>
    </row>
    <row r="977" spans="8:10" x14ac:dyDescent="0.3">
      <c r="H977"/>
      <c r="I977"/>
      <c r="J977"/>
    </row>
    <row r="978" spans="8:10" x14ac:dyDescent="0.3">
      <c r="H978"/>
      <c r="I978"/>
      <c r="J978"/>
    </row>
    <row r="979" spans="8:10" x14ac:dyDescent="0.3">
      <c r="H979"/>
      <c r="I979"/>
      <c r="J979"/>
    </row>
    <row r="980" spans="8:10" x14ac:dyDescent="0.3">
      <c r="H980"/>
      <c r="I980"/>
      <c r="J980"/>
    </row>
    <row r="981" spans="8:10" x14ac:dyDescent="0.3">
      <c r="H981"/>
      <c r="I981"/>
      <c r="J981"/>
    </row>
    <row r="982" spans="8:10" x14ac:dyDescent="0.3">
      <c r="H982"/>
      <c r="I982"/>
      <c r="J982"/>
    </row>
    <row r="983" spans="8:10" x14ac:dyDescent="0.3">
      <c r="H983"/>
      <c r="I983"/>
      <c r="J983"/>
    </row>
    <row r="984" spans="8:10" x14ac:dyDescent="0.3">
      <c r="H984"/>
      <c r="I984"/>
      <c r="J984"/>
    </row>
    <row r="985" spans="8:10" x14ac:dyDescent="0.3">
      <c r="H985"/>
      <c r="I985"/>
      <c r="J985"/>
    </row>
    <row r="986" spans="8:10" x14ac:dyDescent="0.3">
      <c r="H986"/>
      <c r="I986"/>
      <c r="J986"/>
    </row>
    <row r="987" spans="8:10" x14ac:dyDescent="0.3">
      <c r="H987"/>
      <c r="I987"/>
      <c r="J987"/>
    </row>
    <row r="988" spans="8:10" x14ac:dyDescent="0.3">
      <c r="H988"/>
      <c r="I988"/>
      <c r="J988"/>
    </row>
    <row r="989" spans="8:10" x14ac:dyDescent="0.3">
      <c r="H989"/>
      <c r="I989"/>
      <c r="J989"/>
    </row>
    <row r="990" spans="8:10" x14ac:dyDescent="0.3">
      <c r="H990"/>
      <c r="I990"/>
      <c r="J990"/>
    </row>
    <row r="991" spans="8:10" x14ac:dyDescent="0.3">
      <c r="H991"/>
      <c r="I991"/>
      <c r="J991"/>
    </row>
    <row r="992" spans="8:10" x14ac:dyDescent="0.3">
      <c r="H992"/>
      <c r="I992"/>
      <c r="J992"/>
    </row>
    <row r="993" spans="8:10" x14ac:dyDescent="0.3">
      <c r="H993"/>
      <c r="I993"/>
      <c r="J993"/>
    </row>
    <row r="994" spans="8:10" x14ac:dyDescent="0.3">
      <c r="H994"/>
      <c r="I994"/>
      <c r="J994"/>
    </row>
    <row r="995" spans="8:10" x14ac:dyDescent="0.3">
      <c r="H995"/>
      <c r="I995"/>
      <c r="J995"/>
    </row>
    <row r="996" spans="8:10" x14ac:dyDescent="0.3">
      <c r="H996"/>
      <c r="I996"/>
      <c r="J996"/>
    </row>
    <row r="997" spans="8:10" x14ac:dyDescent="0.3">
      <c r="H997"/>
      <c r="I997"/>
      <c r="J997"/>
    </row>
    <row r="998" spans="8:10" x14ac:dyDescent="0.3">
      <c r="H998"/>
      <c r="I998"/>
      <c r="J998"/>
    </row>
    <row r="999" spans="8:10" x14ac:dyDescent="0.3">
      <c r="H999"/>
      <c r="I999"/>
      <c r="J999"/>
    </row>
    <row r="1000" spans="8:10" x14ac:dyDescent="0.3">
      <c r="H1000"/>
      <c r="I1000"/>
      <c r="J1000"/>
    </row>
    <row r="1001" spans="8:10" x14ac:dyDescent="0.3">
      <c r="H1001"/>
      <c r="I1001"/>
      <c r="J1001"/>
    </row>
    <row r="1002" spans="8:10" x14ac:dyDescent="0.3">
      <c r="H1002"/>
      <c r="I1002"/>
      <c r="J1002"/>
    </row>
    <row r="1003" spans="8:10" x14ac:dyDescent="0.3">
      <c r="H1003"/>
      <c r="I1003"/>
      <c r="J1003"/>
    </row>
    <row r="1004" spans="8:10" x14ac:dyDescent="0.3">
      <c r="H1004"/>
      <c r="I1004"/>
      <c r="J1004"/>
    </row>
    <row r="1005" spans="8:10" x14ac:dyDescent="0.3">
      <c r="H1005"/>
      <c r="I1005"/>
      <c r="J1005"/>
    </row>
    <row r="1006" spans="8:10" x14ac:dyDescent="0.3">
      <c r="H1006"/>
      <c r="I1006"/>
      <c r="J1006"/>
    </row>
    <row r="1007" spans="8:10" x14ac:dyDescent="0.3">
      <c r="H1007"/>
      <c r="I1007"/>
      <c r="J1007"/>
    </row>
    <row r="1008" spans="8:10" x14ac:dyDescent="0.3">
      <c r="H1008"/>
      <c r="I1008"/>
      <c r="J1008"/>
    </row>
    <row r="1009" spans="8:10" x14ac:dyDescent="0.3">
      <c r="H1009"/>
      <c r="I1009"/>
      <c r="J1009"/>
    </row>
    <row r="1010" spans="8:10" x14ac:dyDescent="0.3">
      <c r="H1010"/>
      <c r="I1010"/>
      <c r="J1010"/>
    </row>
    <row r="1011" spans="8:10" x14ac:dyDescent="0.3">
      <c r="H1011"/>
      <c r="I1011"/>
      <c r="J1011"/>
    </row>
    <row r="1012" spans="8:10" x14ac:dyDescent="0.3">
      <c r="H1012"/>
      <c r="I1012"/>
      <c r="J1012"/>
    </row>
    <row r="1013" spans="8:10" x14ac:dyDescent="0.3">
      <c r="H1013"/>
      <c r="I1013"/>
      <c r="J1013"/>
    </row>
    <row r="1014" spans="8:10" x14ac:dyDescent="0.3">
      <c r="H1014"/>
      <c r="I1014"/>
      <c r="J1014"/>
    </row>
    <row r="1015" spans="8:10" x14ac:dyDescent="0.3">
      <c r="H1015"/>
      <c r="I1015"/>
      <c r="J1015"/>
    </row>
    <row r="1016" spans="8:10" x14ac:dyDescent="0.3">
      <c r="H1016"/>
      <c r="I1016"/>
      <c r="J1016"/>
    </row>
    <row r="1017" spans="8:10" x14ac:dyDescent="0.3">
      <c r="H1017"/>
      <c r="I1017"/>
      <c r="J1017"/>
    </row>
    <row r="1018" spans="8:10" x14ac:dyDescent="0.3">
      <c r="H1018"/>
      <c r="I1018"/>
      <c r="J1018"/>
    </row>
    <row r="1019" spans="8:10" x14ac:dyDescent="0.3">
      <c r="H1019"/>
      <c r="I1019"/>
      <c r="J1019"/>
    </row>
    <row r="1020" spans="8:10" x14ac:dyDescent="0.3">
      <c r="H1020"/>
      <c r="I1020"/>
      <c r="J1020"/>
    </row>
    <row r="1021" spans="8:10" x14ac:dyDescent="0.3">
      <c r="H1021"/>
      <c r="I1021"/>
      <c r="J1021"/>
    </row>
    <row r="1022" spans="8:10" x14ac:dyDescent="0.3">
      <c r="H1022"/>
      <c r="I1022"/>
      <c r="J1022"/>
    </row>
    <row r="1023" spans="8:10" x14ac:dyDescent="0.3">
      <c r="H1023"/>
      <c r="I1023"/>
      <c r="J1023"/>
    </row>
    <row r="1024" spans="8:10" x14ac:dyDescent="0.3">
      <c r="H1024"/>
      <c r="I1024"/>
      <c r="J1024"/>
    </row>
    <row r="1025" spans="8:10" x14ac:dyDescent="0.3">
      <c r="H1025"/>
      <c r="I1025"/>
      <c r="J1025"/>
    </row>
    <row r="1026" spans="8:10" x14ac:dyDescent="0.3">
      <c r="H1026"/>
      <c r="I1026"/>
      <c r="J1026"/>
    </row>
    <row r="1027" spans="8:10" x14ac:dyDescent="0.3">
      <c r="H1027"/>
      <c r="I1027"/>
      <c r="J1027"/>
    </row>
    <row r="1028" spans="8:10" x14ac:dyDescent="0.3">
      <c r="H1028"/>
      <c r="I1028"/>
      <c r="J1028"/>
    </row>
    <row r="1029" spans="8:10" x14ac:dyDescent="0.3">
      <c r="H1029"/>
      <c r="I1029"/>
      <c r="J1029"/>
    </row>
    <row r="1030" spans="8:10" x14ac:dyDescent="0.3">
      <c r="H1030"/>
      <c r="I1030"/>
      <c r="J1030"/>
    </row>
    <row r="1031" spans="8:10" x14ac:dyDescent="0.3">
      <c r="H1031"/>
      <c r="I1031"/>
      <c r="J1031"/>
    </row>
    <row r="1032" spans="8:10" x14ac:dyDescent="0.3">
      <c r="H1032"/>
      <c r="I1032"/>
      <c r="J1032"/>
    </row>
    <row r="1033" spans="8:10" x14ac:dyDescent="0.3">
      <c r="H1033"/>
      <c r="I1033"/>
      <c r="J1033"/>
    </row>
    <row r="1034" spans="8:10" x14ac:dyDescent="0.3">
      <c r="H1034"/>
      <c r="I1034"/>
      <c r="J1034"/>
    </row>
    <row r="1035" spans="8:10" x14ac:dyDescent="0.3">
      <c r="H1035"/>
      <c r="I1035"/>
      <c r="J1035"/>
    </row>
    <row r="1036" spans="8:10" x14ac:dyDescent="0.3">
      <c r="H1036"/>
      <c r="I1036"/>
      <c r="J1036"/>
    </row>
    <row r="1037" spans="8:10" x14ac:dyDescent="0.3">
      <c r="H1037"/>
      <c r="I1037"/>
      <c r="J1037"/>
    </row>
    <row r="1038" spans="8:10" x14ac:dyDescent="0.3">
      <c r="H1038"/>
      <c r="I1038"/>
      <c r="J1038"/>
    </row>
    <row r="1039" spans="8:10" x14ac:dyDescent="0.3">
      <c r="H1039"/>
      <c r="I1039"/>
      <c r="J1039"/>
    </row>
    <row r="1040" spans="8:10" x14ac:dyDescent="0.3">
      <c r="H1040"/>
      <c r="I1040"/>
      <c r="J1040"/>
    </row>
    <row r="1041" spans="8:10" x14ac:dyDescent="0.3">
      <c r="H1041"/>
      <c r="I1041"/>
      <c r="J1041"/>
    </row>
    <row r="1042" spans="8:10" x14ac:dyDescent="0.3">
      <c r="H1042"/>
      <c r="I1042"/>
      <c r="J1042"/>
    </row>
    <row r="1043" spans="8:10" x14ac:dyDescent="0.3">
      <c r="H1043"/>
      <c r="I1043"/>
      <c r="J1043"/>
    </row>
    <row r="1044" spans="8:10" x14ac:dyDescent="0.3">
      <c r="H1044"/>
      <c r="I1044"/>
      <c r="J1044"/>
    </row>
    <row r="1045" spans="8:10" x14ac:dyDescent="0.3">
      <c r="H1045"/>
      <c r="I1045"/>
      <c r="J1045"/>
    </row>
    <row r="1046" spans="8:10" x14ac:dyDescent="0.3">
      <c r="H1046"/>
      <c r="I1046"/>
      <c r="J1046"/>
    </row>
    <row r="1047" spans="8:10" x14ac:dyDescent="0.3">
      <c r="H1047"/>
      <c r="I1047"/>
      <c r="J1047"/>
    </row>
    <row r="1048" spans="8:10" x14ac:dyDescent="0.3">
      <c r="H1048"/>
      <c r="I1048"/>
      <c r="J1048"/>
    </row>
    <row r="1049" spans="8:10" x14ac:dyDescent="0.3">
      <c r="H1049"/>
      <c r="I1049"/>
      <c r="J1049"/>
    </row>
    <row r="1050" spans="8:10" x14ac:dyDescent="0.3">
      <c r="H1050"/>
      <c r="I1050"/>
      <c r="J1050"/>
    </row>
    <row r="1051" spans="8:10" x14ac:dyDescent="0.3">
      <c r="H1051"/>
      <c r="I1051"/>
      <c r="J1051"/>
    </row>
    <row r="1052" spans="8:10" x14ac:dyDescent="0.3">
      <c r="H1052"/>
      <c r="I1052"/>
      <c r="J1052"/>
    </row>
    <row r="1053" spans="8:10" x14ac:dyDescent="0.3">
      <c r="H1053"/>
      <c r="I1053"/>
      <c r="J1053"/>
    </row>
    <row r="1054" spans="8:10" x14ac:dyDescent="0.3">
      <c r="H1054"/>
      <c r="I1054"/>
      <c r="J1054"/>
    </row>
    <row r="1055" spans="8:10" x14ac:dyDescent="0.3">
      <c r="H1055"/>
      <c r="I1055"/>
      <c r="J1055"/>
    </row>
    <row r="1056" spans="8:10" x14ac:dyDescent="0.3">
      <c r="H1056"/>
      <c r="I1056"/>
      <c r="J1056"/>
    </row>
    <row r="1057" spans="8:10" x14ac:dyDescent="0.3">
      <c r="H1057"/>
      <c r="I1057"/>
      <c r="J1057"/>
    </row>
    <row r="1058" spans="8:10" x14ac:dyDescent="0.3">
      <c r="H1058"/>
      <c r="I1058"/>
      <c r="J1058"/>
    </row>
    <row r="1059" spans="8:10" x14ac:dyDescent="0.3">
      <c r="H1059"/>
      <c r="I1059"/>
      <c r="J1059"/>
    </row>
    <row r="1060" spans="8:10" x14ac:dyDescent="0.3">
      <c r="H1060"/>
      <c r="I1060"/>
      <c r="J1060"/>
    </row>
    <row r="1061" spans="8:10" x14ac:dyDescent="0.3">
      <c r="H1061"/>
      <c r="I1061"/>
      <c r="J1061"/>
    </row>
    <row r="1062" spans="8:10" x14ac:dyDescent="0.3">
      <c r="H1062"/>
      <c r="I1062"/>
      <c r="J1062"/>
    </row>
    <row r="1063" spans="8:10" x14ac:dyDescent="0.3">
      <c r="H1063"/>
      <c r="I1063"/>
      <c r="J1063"/>
    </row>
    <row r="1064" spans="8:10" x14ac:dyDescent="0.3">
      <c r="H1064"/>
      <c r="I1064"/>
      <c r="J1064"/>
    </row>
    <row r="1065" spans="8:10" x14ac:dyDescent="0.3">
      <c r="H1065"/>
      <c r="I1065"/>
      <c r="J1065"/>
    </row>
    <row r="1066" spans="8:10" x14ac:dyDescent="0.3">
      <c r="H1066"/>
      <c r="I1066"/>
      <c r="J1066"/>
    </row>
    <row r="1067" spans="8:10" x14ac:dyDescent="0.3">
      <c r="H1067"/>
      <c r="I1067"/>
      <c r="J1067"/>
    </row>
    <row r="1068" spans="8:10" x14ac:dyDescent="0.3">
      <c r="H1068"/>
      <c r="I1068"/>
      <c r="J1068"/>
    </row>
    <row r="1069" spans="8:10" x14ac:dyDescent="0.3">
      <c r="H1069"/>
      <c r="I1069"/>
      <c r="J1069"/>
    </row>
    <row r="1070" spans="8:10" x14ac:dyDescent="0.3">
      <c r="H1070"/>
      <c r="I1070"/>
      <c r="J1070"/>
    </row>
    <row r="1071" spans="8:10" x14ac:dyDescent="0.3">
      <c r="H1071"/>
      <c r="I1071"/>
      <c r="J1071"/>
    </row>
    <row r="1072" spans="8:10" x14ac:dyDescent="0.3">
      <c r="H1072"/>
      <c r="I1072"/>
      <c r="J1072"/>
    </row>
    <row r="1073" spans="8:10" x14ac:dyDescent="0.3">
      <c r="H1073"/>
      <c r="I1073"/>
      <c r="J1073"/>
    </row>
    <row r="1074" spans="8:10" x14ac:dyDescent="0.3">
      <c r="H1074"/>
      <c r="I1074"/>
      <c r="J1074"/>
    </row>
    <row r="1075" spans="8:10" x14ac:dyDescent="0.3">
      <c r="H1075"/>
      <c r="I1075"/>
      <c r="J1075"/>
    </row>
    <row r="1076" spans="8:10" x14ac:dyDescent="0.3">
      <c r="H1076"/>
      <c r="I1076"/>
      <c r="J1076"/>
    </row>
    <row r="1077" spans="8:10" x14ac:dyDescent="0.3">
      <c r="H1077"/>
      <c r="I1077"/>
      <c r="J1077"/>
    </row>
    <row r="1078" spans="8:10" x14ac:dyDescent="0.3">
      <c r="H1078"/>
      <c r="I1078"/>
      <c r="J1078"/>
    </row>
    <row r="1079" spans="8:10" x14ac:dyDescent="0.3">
      <c r="H1079"/>
      <c r="I1079"/>
      <c r="J1079"/>
    </row>
    <row r="1080" spans="8:10" x14ac:dyDescent="0.3">
      <c r="H1080"/>
      <c r="I1080"/>
      <c r="J1080"/>
    </row>
    <row r="1081" spans="8:10" x14ac:dyDescent="0.3">
      <c r="H1081"/>
      <c r="I1081"/>
      <c r="J1081"/>
    </row>
    <row r="1082" spans="8:10" x14ac:dyDescent="0.3">
      <c r="H1082"/>
      <c r="I1082"/>
      <c r="J1082"/>
    </row>
    <row r="1083" spans="8:10" x14ac:dyDescent="0.3">
      <c r="H1083"/>
      <c r="I1083"/>
      <c r="J1083"/>
    </row>
    <row r="1084" spans="8:10" x14ac:dyDescent="0.3">
      <c r="H1084"/>
      <c r="I1084"/>
      <c r="J1084"/>
    </row>
    <row r="1085" spans="8:10" x14ac:dyDescent="0.3">
      <c r="H1085"/>
      <c r="I1085"/>
      <c r="J1085"/>
    </row>
    <row r="1086" spans="8:10" x14ac:dyDescent="0.3">
      <c r="H1086"/>
      <c r="I1086"/>
      <c r="J1086"/>
    </row>
    <row r="1087" spans="8:10" x14ac:dyDescent="0.3">
      <c r="H1087"/>
      <c r="I1087"/>
      <c r="J1087"/>
    </row>
    <row r="1088" spans="8:10" x14ac:dyDescent="0.3">
      <c r="H1088"/>
      <c r="I1088"/>
      <c r="J1088"/>
    </row>
    <row r="1089" spans="8:10" x14ac:dyDescent="0.3">
      <c r="H1089"/>
      <c r="I1089"/>
      <c r="J1089"/>
    </row>
    <row r="1090" spans="8:10" x14ac:dyDescent="0.3">
      <c r="H1090"/>
      <c r="I1090"/>
      <c r="J1090"/>
    </row>
    <row r="1091" spans="8:10" x14ac:dyDescent="0.3">
      <c r="H1091"/>
      <c r="I1091"/>
      <c r="J1091"/>
    </row>
    <row r="1092" spans="8:10" x14ac:dyDescent="0.3">
      <c r="H1092"/>
      <c r="I1092"/>
      <c r="J1092"/>
    </row>
    <row r="1093" spans="8:10" x14ac:dyDescent="0.3">
      <c r="H1093"/>
      <c r="I1093"/>
      <c r="J1093"/>
    </row>
    <row r="1094" spans="8:10" x14ac:dyDescent="0.3">
      <c r="H1094"/>
      <c r="I1094"/>
      <c r="J1094"/>
    </row>
    <row r="1095" spans="8:10" x14ac:dyDescent="0.3">
      <c r="H1095"/>
      <c r="I1095"/>
      <c r="J1095"/>
    </row>
    <row r="1096" spans="8:10" x14ac:dyDescent="0.3">
      <c r="H1096"/>
      <c r="I1096"/>
      <c r="J1096"/>
    </row>
    <row r="1097" spans="8:10" x14ac:dyDescent="0.3">
      <c r="H1097"/>
      <c r="I1097"/>
      <c r="J1097"/>
    </row>
    <row r="1098" spans="8:10" x14ac:dyDescent="0.3">
      <c r="H1098"/>
      <c r="I1098"/>
      <c r="J1098"/>
    </row>
    <row r="1099" spans="8:10" x14ac:dyDescent="0.3">
      <c r="H1099"/>
      <c r="I1099"/>
      <c r="J1099"/>
    </row>
    <row r="1100" spans="8:10" x14ac:dyDescent="0.3">
      <c r="H1100"/>
      <c r="I1100"/>
      <c r="J1100"/>
    </row>
    <row r="1101" spans="8:10" x14ac:dyDescent="0.3">
      <c r="H1101"/>
      <c r="I1101"/>
      <c r="J1101"/>
    </row>
    <row r="1102" spans="8:10" x14ac:dyDescent="0.3">
      <c r="H1102"/>
      <c r="I1102"/>
      <c r="J1102"/>
    </row>
    <row r="1103" spans="8:10" x14ac:dyDescent="0.3">
      <c r="H1103"/>
      <c r="I1103"/>
      <c r="J1103"/>
    </row>
    <row r="1104" spans="8:10" x14ac:dyDescent="0.3">
      <c r="H1104"/>
      <c r="I1104"/>
      <c r="J1104"/>
    </row>
    <row r="1105" spans="8:10" x14ac:dyDescent="0.3">
      <c r="H1105"/>
      <c r="I1105"/>
      <c r="J1105"/>
    </row>
    <row r="1106" spans="8:10" x14ac:dyDescent="0.3">
      <c r="H1106"/>
      <c r="I1106"/>
      <c r="J1106"/>
    </row>
    <row r="1107" spans="8:10" x14ac:dyDescent="0.3">
      <c r="H1107"/>
      <c r="I1107"/>
      <c r="J1107"/>
    </row>
    <row r="1108" spans="8:10" x14ac:dyDescent="0.3">
      <c r="H1108"/>
      <c r="I1108"/>
      <c r="J1108"/>
    </row>
    <row r="1109" spans="8:10" x14ac:dyDescent="0.3">
      <c r="H1109"/>
      <c r="I1109"/>
      <c r="J1109"/>
    </row>
    <row r="1110" spans="8:10" x14ac:dyDescent="0.3">
      <c r="H1110"/>
      <c r="I1110"/>
      <c r="J1110"/>
    </row>
    <row r="1111" spans="8:10" x14ac:dyDescent="0.3">
      <c r="H1111"/>
      <c r="I1111"/>
      <c r="J1111"/>
    </row>
    <row r="1112" spans="8:10" x14ac:dyDescent="0.3">
      <c r="H1112"/>
      <c r="I1112"/>
      <c r="J1112"/>
    </row>
    <row r="1113" spans="8:10" x14ac:dyDescent="0.3">
      <c r="H1113"/>
      <c r="I1113"/>
      <c r="J1113"/>
    </row>
    <row r="1114" spans="8:10" x14ac:dyDescent="0.3">
      <c r="H1114"/>
      <c r="I1114"/>
      <c r="J1114"/>
    </row>
    <row r="1115" spans="8:10" x14ac:dyDescent="0.3">
      <c r="H1115"/>
      <c r="I1115"/>
      <c r="J1115"/>
    </row>
    <row r="1116" spans="8:10" x14ac:dyDescent="0.3">
      <c r="H1116"/>
      <c r="I1116"/>
      <c r="J1116"/>
    </row>
    <row r="1117" spans="8:10" x14ac:dyDescent="0.3">
      <c r="H1117"/>
      <c r="I1117"/>
      <c r="J1117"/>
    </row>
    <row r="1118" spans="8:10" x14ac:dyDescent="0.3">
      <c r="H1118"/>
      <c r="I1118"/>
      <c r="J1118"/>
    </row>
    <row r="1119" spans="8:10" x14ac:dyDescent="0.3">
      <c r="H1119"/>
      <c r="I1119"/>
      <c r="J1119"/>
    </row>
    <row r="1120" spans="8:10" x14ac:dyDescent="0.3">
      <c r="H1120"/>
      <c r="I1120"/>
      <c r="J1120"/>
    </row>
    <row r="1121" spans="8:10" x14ac:dyDescent="0.3">
      <c r="H1121"/>
      <c r="I1121"/>
      <c r="J1121"/>
    </row>
    <row r="1122" spans="8:10" x14ac:dyDescent="0.3">
      <c r="H1122"/>
      <c r="I1122"/>
      <c r="J1122"/>
    </row>
    <row r="1123" spans="8:10" x14ac:dyDescent="0.3">
      <c r="H1123"/>
      <c r="I1123"/>
      <c r="J1123"/>
    </row>
    <row r="1124" spans="8:10" x14ac:dyDescent="0.3">
      <c r="H1124"/>
      <c r="I1124"/>
      <c r="J1124"/>
    </row>
    <row r="1125" spans="8:10" x14ac:dyDescent="0.3">
      <c r="H1125"/>
      <c r="I1125"/>
      <c r="J1125"/>
    </row>
    <row r="1126" spans="8:10" x14ac:dyDescent="0.3">
      <c r="H1126"/>
      <c r="I1126"/>
      <c r="J1126"/>
    </row>
    <row r="1127" spans="8:10" x14ac:dyDescent="0.3">
      <c r="H1127"/>
      <c r="I1127"/>
      <c r="J1127"/>
    </row>
    <row r="1128" spans="8:10" x14ac:dyDescent="0.3">
      <c r="H1128"/>
      <c r="I1128"/>
      <c r="J1128"/>
    </row>
    <row r="1129" spans="8:10" x14ac:dyDescent="0.3">
      <c r="H1129"/>
      <c r="I1129"/>
      <c r="J1129"/>
    </row>
    <row r="1130" spans="8:10" x14ac:dyDescent="0.3">
      <c r="H1130"/>
      <c r="I1130"/>
      <c r="J1130"/>
    </row>
    <row r="1131" spans="8:10" x14ac:dyDescent="0.3">
      <c r="H1131"/>
      <c r="I1131"/>
      <c r="J1131"/>
    </row>
    <row r="1132" spans="8:10" x14ac:dyDescent="0.3">
      <c r="H1132"/>
      <c r="I1132"/>
      <c r="J1132"/>
    </row>
    <row r="1133" spans="8:10" x14ac:dyDescent="0.3">
      <c r="H1133"/>
      <c r="I1133"/>
      <c r="J1133"/>
    </row>
    <row r="1134" spans="8:10" x14ac:dyDescent="0.3">
      <c r="H1134"/>
      <c r="I1134"/>
      <c r="J1134"/>
    </row>
    <row r="1135" spans="8:10" x14ac:dyDescent="0.3">
      <c r="H1135"/>
      <c r="I1135"/>
      <c r="J1135"/>
    </row>
    <row r="1136" spans="8:10" x14ac:dyDescent="0.3">
      <c r="H1136"/>
      <c r="I1136"/>
      <c r="J1136"/>
    </row>
    <row r="1137" spans="8:10" x14ac:dyDescent="0.3">
      <c r="H1137"/>
      <c r="I1137"/>
      <c r="J1137"/>
    </row>
    <row r="1138" spans="8:10" x14ac:dyDescent="0.3">
      <c r="H1138"/>
      <c r="I1138"/>
      <c r="J1138"/>
    </row>
    <row r="1139" spans="8:10" x14ac:dyDescent="0.3">
      <c r="H1139"/>
      <c r="I1139"/>
      <c r="J1139"/>
    </row>
    <row r="1140" spans="8:10" x14ac:dyDescent="0.3">
      <c r="H1140"/>
      <c r="I1140"/>
      <c r="J1140"/>
    </row>
    <row r="1141" spans="8:10" x14ac:dyDescent="0.3">
      <c r="H1141"/>
      <c r="I1141"/>
      <c r="J1141"/>
    </row>
    <row r="1142" spans="8:10" x14ac:dyDescent="0.3">
      <c r="H1142"/>
      <c r="I1142"/>
      <c r="J1142"/>
    </row>
    <row r="1143" spans="8:10" x14ac:dyDescent="0.3">
      <c r="H1143"/>
      <c r="I1143"/>
      <c r="J1143"/>
    </row>
    <row r="1144" spans="8:10" x14ac:dyDescent="0.3">
      <c r="H1144"/>
      <c r="I1144"/>
      <c r="J1144"/>
    </row>
    <row r="1145" spans="8:10" x14ac:dyDescent="0.3">
      <c r="H1145"/>
      <c r="I1145"/>
      <c r="J1145"/>
    </row>
    <row r="1146" spans="8:10" x14ac:dyDescent="0.3">
      <c r="H1146"/>
      <c r="I1146"/>
      <c r="J1146"/>
    </row>
    <row r="1147" spans="8:10" x14ac:dyDescent="0.3">
      <c r="H1147"/>
      <c r="I1147"/>
      <c r="J1147"/>
    </row>
    <row r="1148" spans="8:10" x14ac:dyDescent="0.3">
      <c r="H1148"/>
      <c r="I1148"/>
      <c r="J1148"/>
    </row>
    <row r="1149" spans="8:10" x14ac:dyDescent="0.3">
      <c r="H1149"/>
      <c r="I1149"/>
      <c r="J1149"/>
    </row>
    <row r="1150" spans="8:10" x14ac:dyDescent="0.3">
      <c r="H1150"/>
      <c r="I1150"/>
      <c r="J1150"/>
    </row>
    <row r="1151" spans="8:10" x14ac:dyDescent="0.3">
      <c r="H1151"/>
      <c r="I1151"/>
      <c r="J1151"/>
    </row>
    <row r="1152" spans="8:10" x14ac:dyDescent="0.3">
      <c r="H1152"/>
      <c r="I1152"/>
      <c r="J1152"/>
    </row>
    <row r="1153" spans="8:10" x14ac:dyDescent="0.3">
      <c r="H1153"/>
      <c r="I1153"/>
      <c r="J1153"/>
    </row>
    <row r="1154" spans="8:10" x14ac:dyDescent="0.3">
      <c r="H1154"/>
      <c r="I1154"/>
      <c r="J1154"/>
    </row>
    <row r="1155" spans="8:10" x14ac:dyDescent="0.3">
      <c r="H1155"/>
      <c r="I1155"/>
      <c r="J1155"/>
    </row>
    <row r="1156" spans="8:10" x14ac:dyDescent="0.3">
      <c r="H1156"/>
      <c r="I1156"/>
      <c r="J1156"/>
    </row>
    <row r="1157" spans="8:10" x14ac:dyDescent="0.3">
      <c r="H1157"/>
      <c r="I1157"/>
      <c r="J1157"/>
    </row>
    <row r="1158" spans="8:10" x14ac:dyDescent="0.3">
      <c r="H1158"/>
      <c r="I1158"/>
      <c r="J1158"/>
    </row>
    <row r="1159" spans="8:10" x14ac:dyDescent="0.3">
      <c r="H1159"/>
      <c r="I1159"/>
      <c r="J1159"/>
    </row>
    <row r="1160" spans="8:10" x14ac:dyDescent="0.3">
      <c r="H1160"/>
      <c r="I1160"/>
      <c r="J1160"/>
    </row>
    <row r="1161" spans="8:10" x14ac:dyDescent="0.3">
      <c r="H1161"/>
      <c r="I1161"/>
      <c r="J1161"/>
    </row>
    <row r="1162" spans="8:10" x14ac:dyDescent="0.3">
      <c r="H1162"/>
      <c r="I1162"/>
      <c r="J1162"/>
    </row>
    <row r="1163" spans="8:10" x14ac:dyDescent="0.3">
      <c r="H1163"/>
      <c r="I1163"/>
      <c r="J1163"/>
    </row>
    <row r="1164" spans="8:10" x14ac:dyDescent="0.3">
      <c r="H1164"/>
      <c r="I1164"/>
      <c r="J1164"/>
    </row>
    <row r="1165" spans="8:10" x14ac:dyDescent="0.3">
      <c r="H1165"/>
      <c r="I1165"/>
      <c r="J1165"/>
    </row>
    <row r="1166" spans="8:10" x14ac:dyDescent="0.3">
      <c r="H1166"/>
      <c r="I1166"/>
      <c r="J1166"/>
    </row>
    <row r="1167" spans="8:10" x14ac:dyDescent="0.3">
      <c r="H1167"/>
      <c r="I1167"/>
      <c r="J1167"/>
    </row>
    <row r="1168" spans="8:10" x14ac:dyDescent="0.3">
      <c r="H1168"/>
      <c r="I1168"/>
      <c r="J1168"/>
    </row>
    <row r="1169" spans="8:10" x14ac:dyDescent="0.3">
      <c r="H1169"/>
      <c r="I1169"/>
      <c r="J1169"/>
    </row>
    <row r="1170" spans="8:10" x14ac:dyDescent="0.3">
      <c r="H1170"/>
      <c r="I1170"/>
      <c r="J1170"/>
    </row>
    <row r="1171" spans="8:10" x14ac:dyDescent="0.3">
      <c r="H1171"/>
      <c r="I1171"/>
      <c r="J1171"/>
    </row>
    <row r="1172" spans="8:10" x14ac:dyDescent="0.3">
      <c r="H1172"/>
      <c r="I1172"/>
      <c r="J1172"/>
    </row>
    <row r="1173" spans="8:10" x14ac:dyDescent="0.3">
      <c r="H1173"/>
      <c r="I1173"/>
      <c r="J1173"/>
    </row>
    <row r="1174" spans="8:10" x14ac:dyDescent="0.3">
      <c r="H1174"/>
      <c r="I1174"/>
      <c r="J1174"/>
    </row>
    <row r="1175" spans="8:10" x14ac:dyDescent="0.3">
      <c r="H1175"/>
      <c r="I1175"/>
      <c r="J1175"/>
    </row>
    <row r="1176" spans="8:10" x14ac:dyDescent="0.3">
      <c r="H1176"/>
      <c r="I1176"/>
      <c r="J1176"/>
    </row>
    <row r="1177" spans="8:10" x14ac:dyDescent="0.3">
      <c r="H1177"/>
      <c r="I1177"/>
      <c r="J1177"/>
    </row>
    <row r="1178" spans="8:10" x14ac:dyDescent="0.3">
      <c r="H1178"/>
      <c r="I1178"/>
      <c r="J1178"/>
    </row>
    <row r="1179" spans="8:10" x14ac:dyDescent="0.3">
      <c r="H1179"/>
      <c r="I1179"/>
      <c r="J1179"/>
    </row>
    <row r="1180" spans="8:10" x14ac:dyDescent="0.3">
      <c r="H1180"/>
      <c r="I1180"/>
      <c r="J1180"/>
    </row>
    <row r="1181" spans="8:10" x14ac:dyDescent="0.3">
      <c r="H1181"/>
      <c r="I1181"/>
      <c r="J1181"/>
    </row>
    <row r="1182" spans="8:10" x14ac:dyDescent="0.3">
      <c r="H1182"/>
      <c r="I1182"/>
      <c r="J1182"/>
    </row>
    <row r="1183" spans="8:10" x14ac:dyDescent="0.3">
      <c r="H1183"/>
      <c r="I1183"/>
      <c r="J1183"/>
    </row>
    <row r="1184" spans="8:10" x14ac:dyDescent="0.3">
      <c r="H1184"/>
      <c r="I1184"/>
      <c r="J1184"/>
    </row>
    <row r="1185" spans="8:10" x14ac:dyDescent="0.3">
      <c r="H1185"/>
      <c r="I1185"/>
      <c r="J1185"/>
    </row>
    <row r="1186" spans="8:10" x14ac:dyDescent="0.3">
      <c r="H1186"/>
      <c r="I1186"/>
      <c r="J1186"/>
    </row>
    <row r="1187" spans="8:10" x14ac:dyDescent="0.3">
      <c r="H1187"/>
      <c r="I1187"/>
      <c r="J1187"/>
    </row>
    <row r="1188" spans="8:10" x14ac:dyDescent="0.3">
      <c r="H1188"/>
      <c r="I1188"/>
      <c r="J1188"/>
    </row>
    <row r="1189" spans="8:10" x14ac:dyDescent="0.3">
      <c r="H1189"/>
      <c r="I1189"/>
      <c r="J1189"/>
    </row>
    <row r="1190" spans="8:10" x14ac:dyDescent="0.3">
      <c r="H1190"/>
      <c r="I1190"/>
      <c r="J1190"/>
    </row>
    <row r="1191" spans="8:10" x14ac:dyDescent="0.3">
      <c r="H1191"/>
      <c r="I1191"/>
      <c r="J1191"/>
    </row>
    <row r="1192" spans="8:10" x14ac:dyDescent="0.3">
      <c r="H1192"/>
      <c r="I1192"/>
      <c r="J1192"/>
    </row>
    <row r="1193" spans="8:10" x14ac:dyDescent="0.3">
      <c r="H1193"/>
      <c r="I1193"/>
      <c r="J1193"/>
    </row>
    <row r="1194" spans="8:10" x14ac:dyDescent="0.3">
      <c r="H1194"/>
      <c r="I1194"/>
      <c r="J1194"/>
    </row>
    <row r="1195" spans="8:10" x14ac:dyDescent="0.3">
      <c r="H1195"/>
      <c r="I1195"/>
      <c r="J1195"/>
    </row>
    <row r="1196" spans="8:10" x14ac:dyDescent="0.3">
      <c r="H1196"/>
      <c r="I1196"/>
      <c r="J1196"/>
    </row>
    <row r="1197" spans="8:10" x14ac:dyDescent="0.3">
      <c r="H1197"/>
      <c r="I1197"/>
      <c r="J1197"/>
    </row>
    <row r="1198" spans="8:10" x14ac:dyDescent="0.3">
      <c r="H1198"/>
      <c r="I1198"/>
      <c r="J1198"/>
    </row>
    <row r="1199" spans="8:10" x14ac:dyDescent="0.3">
      <c r="H1199"/>
      <c r="I1199"/>
      <c r="J1199"/>
    </row>
    <row r="1200" spans="8:10" x14ac:dyDescent="0.3">
      <c r="H1200"/>
      <c r="I1200"/>
      <c r="J1200"/>
    </row>
    <row r="1201" spans="8:10" x14ac:dyDescent="0.3">
      <c r="H1201"/>
      <c r="I1201"/>
      <c r="J1201"/>
    </row>
    <row r="1202" spans="8:10" x14ac:dyDescent="0.3">
      <c r="H1202"/>
      <c r="I1202"/>
      <c r="J1202"/>
    </row>
    <row r="1203" spans="8:10" x14ac:dyDescent="0.3">
      <c r="H1203"/>
      <c r="I1203"/>
      <c r="J1203"/>
    </row>
    <row r="1204" spans="8:10" x14ac:dyDescent="0.3">
      <c r="H1204"/>
      <c r="I1204"/>
      <c r="J1204"/>
    </row>
    <row r="1205" spans="8:10" x14ac:dyDescent="0.3">
      <c r="H1205"/>
      <c r="I1205"/>
      <c r="J1205"/>
    </row>
    <row r="1206" spans="8:10" x14ac:dyDescent="0.3">
      <c r="H1206"/>
      <c r="I1206"/>
      <c r="J1206"/>
    </row>
    <row r="1207" spans="8:10" x14ac:dyDescent="0.3">
      <c r="H1207"/>
      <c r="I1207"/>
      <c r="J1207"/>
    </row>
    <row r="1208" spans="8:10" x14ac:dyDescent="0.3">
      <c r="H1208"/>
      <c r="I1208"/>
      <c r="J1208"/>
    </row>
    <row r="1209" spans="8:10" x14ac:dyDescent="0.3">
      <c r="H1209"/>
      <c r="I1209"/>
      <c r="J1209"/>
    </row>
    <row r="1210" spans="8:10" x14ac:dyDescent="0.3">
      <c r="H1210"/>
      <c r="I1210"/>
      <c r="J1210"/>
    </row>
    <row r="1211" spans="8:10" x14ac:dyDescent="0.3">
      <c r="H1211"/>
      <c r="I1211"/>
      <c r="J1211"/>
    </row>
    <row r="1212" spans="8:10" x14ac:dyDescent="0.3">
      <c r="H1212"/>
      <c r="I1212"/>
      <c r="J1212"/>
    </row>
    <row r="1213" spans="8:10" x14ac:dyDescent="0.3">
      <c r="H1213"/>
      <c r="I1213"/>
      <c r="J1213"/>
    </row>
    <row r="1214" spans="8:10" x14ac:dyDescent="0.3">
      <c r="H1214"/>
      <c r="I1214"/>
      <c r="J1214"/>
    </row>
    <row r="1215" spans="8:10" x14ac:dyDescent="0.3">
      <c r="H1215"/>
      <c r="I1215"/>
      <c r="J1215"/>
    </row>
    <row r="1216" spans="8:10" x14ac:dyDescent="0.3">
      <c r="H1216"/>
      <c r="I1216"/>
      <c r="J1216"/>
    </row>
    <row r="1217" spans="8:10" x14ac:dyDescent="0.3">
      <c r="H1217"/>
      <c r="I1217"/>
      <c r="J1217"/>
    </row>
    <row r="1218" spans="8:10" x14ac:dyDescent="0.3">
      <c r="H1218"/>
      <c r="I1218"/>
      <c r="J1218"/>
    </row>
    <row r="1219" spans="8:10" x14ac:dyDescent="0.3">
      <c r="H1219"/>
      <c r="I1219"/>
      <c r="J1219"/>
    </row>
    <row r="1220" spans="8:10" x14ac:dyDescent="0.3">
      <c r="H1220"/>
      <c r="I1220"/>
      <c r="J1220"/>
    </row>
    <row r="1221" spans="8:10" x14ac:dyDescent="0.3">
      <c r="H1221"/>
      <c r="I1221"/>
      <c r="J1221"/>
    </row>
    <row r="1222" spans="8:10" x14ac:dyDescent="0.3">
      <c r="H1222"/>
      <c r="I1222"/>
      <c r="J1222"/>
    </row>
    <row r="1223" spans="8:10" x14ac:dyDescent="0.3">
      <c r="H1223"/>
      <c r="I1223"/>
      <c r="J1223"/>
    </row>
    <row r="1224" spans="8:10" x14ac:dyDescent="0.3">
      <c r="H1224"/>
      <c r="I1224"/>
      <c r="J1224"/>
    </row>
    <row r="1225" spans="8:10" x14ac:dyDescent="0.3">
      <c r="H1225"/>
      <c r="I1225"/>
      <c r="J1225"/>
    </row>
    <row r="1226" spans="8:10" x14ac:dyDescent="0.3">
      <c r="H1226"/>
      <c r="I1226"/>
      <c r="J1226"/>
    </row>
    <row r="1227" spans="8:10" x14ac:dyDescent="0.3">
      <c r="H1227"/>
      <c r="I1227"/>
      <c r="J1227"/>
    </row>
    <row r="1228" spans="8:10" x14ac:dyDescent="0.3">
      <c r="H1228"/>
      <c r="I1228"/>
      <c r="J1228"/>
    </row>
    <row r="1229" spans="8:10" x14ac:dyDescent="0.3">
      <c r="H1229"/>
      <c r="I1229"/>
      <c r="J1229"/>
    </row>
    <row r="1230" spans="8:10" x14ac:dyDescent="0.3">
      <c r="H1230"/>
      <c r="I1230"/>
      <c r="J1230"/>
    </row>
    <row r="1231" spans="8:10" x14ac:dyDescent="0.3">
      <c r="H1231"/>
      <c r="I1231"/>
      <c r="J1231"/>
    </row>
    <row r="1232" spans="8:10" x14ac:dyDescent="0.3">
      <c r="H1232"/>
      <c r="I1232"/>
      <c r="J1232"/>
    </row>
    <row r="1233" spans="8:10" x14ac:dyDescent="0.3">
      <c r="H1233"/>
      <c r="I1233"/>
      <c r="J1233"/>
    </row>
    <row r="1234" spans="8:10" x14ac:dyDescent="0.3">
      <c r="H1234"/>
      <c r="I1234"/>
      <c r="J1234"/>
    </row>
    <row r="1235" spans="8:10" x14ac:dyDescent="0.3">
      <c r="H1235"/>
      <c r="I1235"/>
      <c r="J1235"/>
    </row>
    <row r="1236" spans="8:10" x14ac:dyDescent="0.3">
      <c r="H1236"/>
      <c r="I1236"/>
      <c r="J1236"/>
    </row>
    <row r="1237" spans="8:10" x14ac:dyDescent="0.3">
      <c r="H1237"/>
      <c r="I1237"/>
      <c r="J1237"/>
    </row>
    <row r="1238" spans="8:10" x14ac:dyDescent="0.3">
      <c r="H1238"/>
      <c r="I1238"/>
      <c r="J1238"/>
    </row>
    <row r="1239" spans="8:10" x14ac:dyDescent="0.3">
      <c r="H1239"/>
      <c r="I1239"/>
      <c r="J1239"/>
    </row>
    <row r="1240" spans="8:10" x14ac:dyDescent="0.3">
      <c r="H1240"/>
      <c r="I1240"/>
      <c r="J1240"/>
    </row>
    <row r="1241" spans="8:10" x14ac:dyDescent="0.3">
      <c r="H1241"/>
      <c r="I1241"/>
      <c r="J1241"/>
    </row>
    <row r="1242" spans="8:10" x14ac:dyDescent="0.3">
      <c r="H1242"/>
      <c r="I1242"/>
      <c r="J1242"/>
    </row>
    <row r="1243" spans="8:10" x14ac:dyDescent="0.3">
      <c r="H1243"/>
      <c r="I1243"/>
      <c r="J1243"/>
    </row>
    <row r="1244" spans="8:10" x14ac:dyDescent="0.3">
      <c r="H1244"/>
      <c r="I1244"/>
      <c r="J1244"/>
    </row>
    <row r="1245" spans="8:10" x14ac:dyDescent="0.3">
      <c r="H1245"/>
      <c r="I1245"/>
      <c r="J1245"/>
    </row>
    <row r="1246" spans="8:10" x14ac:dyDescent="0.3">
      <c r="H1246"/>
      <c r="I1246"/>
      <c r="J1246"/>
    </row>
    <row r="1247" spans="8:10" x14ac:dyDescent="0.3">
      <c r="H1247"/>
      <c r="I1247"/>
      <c r="J1247"/>
    </row>
    <row r="1248" spans="8:10" x14ac:dyDescent="0.3">
      <c r="H1248"/>
      <c r="I1248"/>
      <c r="J1248"/>
    </row>
    <row r="1249" spans="8:10" x14ac:dyDescent="0.3">
      <c r="H1249"/>
      <c r="I1249"/>
      <c r="J1249"/>
    </row>
    <row r="1250" spans="8:10" x14ac:dyDescent="0.3">
      <c r="H1250"/>
      <c r="I1250"/>
      <c r="J1250"/>
    </row>
    <row r="1251" spans="8:10" x14ac:dyDescent="0.3">
      <c r="H1251"/>
      <c r="I1251"/>
      <c r="J1251"/>
    </row>
    <row r="1252" spans="8:10" x14ac:dyDescent="0.3">
      <c r="H1252"/>
      <c r="I1252"/>
      <c r="J1252"/>
    </row>
    <row r="1253" spans="8:10" x14ac:dyDescent="0.3">
      <c r="H1253"/>
      <c r="I1253"/>
      <c r="J1253"/>
    </row>
    <row r="1254" spans="8:10" x14ac:dyDescent="0.3">
      <c r="H1254"/>
      <c r="I1254"/>
      <c r="J1254"/>
    </row>
    <row r="1255" spans="8:10" x14ac:dyDescent="0.3">
      <c r="H1255"/>
      <c r="I1255"/>
      <c r="J1255"/>
    </row>
    <row r="1256" spans="8:10" x14ac:dyDescent="0.3">
      <c r="H1256"/>
      <c r="I1256"/>
      <c r="J1256"/>
    </row>
    <row r="1257" spans="8:10" x14ac:dyDescent="0.3">
      <c r="H1257"/>
      <c r="I1257"/>
      <c r="J1257"/>
    </row>
    <row r="1258" spans="8:10" x14ac:dyDescent="0.3">
      <c r="H1258"/>
      <c r="I1258"/>
      <c r="J1258"/>
    </row>
    <row r="1259" spans="8:10" x14ac:dyDescent="0.3">
      <c r="H1259"/>
      <c r="I1259"/>
      <c r="J1259"/>
    </row>
    <row r="1260" spans="8:10" x14ac:dyDescent="0.3">
      <c r="H1260"/>
      <c r="I1260"/>
      <c r="J1260"/>
    </row>
    <row r="1261" spans="8:10" x14ac:dyDescent="0.3">
      <c r="H1261"/>
      <c r="I1261"/>
      <c r="J1261"/>
    </row>
    <row r="1262" spans="8:10" x14ac:dyDescent="0.3">
      <c r="H1262"/>
      <c r="I1262"/>
      <c r="J1262"/>
    </row>
    <row r="1263" spans="8:10" x14ac:dyDescent="0.3">
      <c r="H1263"/>
      <c r="I1263"/>
      <c r="J1263"/>
    </row>
    <row r="1264" spans="8:10" x14ac:dyDescent="0.3">
      <c r="H1264"/>
      <c r="I1264"/>
      <c r="J1264"/>
    </row>
    <row r="1265" spans="8:10" x14ac:dyDescent="0.3">
      <c r="H1265"/>
      <c r="I1265"/>
      <c r="J1265"/>
    </row>
    <row r="1266" spans="8:10" x14ac:dyDescent="0.3">
      <c r="H1266"/>
      <c r="I1266"/>
      <c r="J1266"/>
    </row>
    <row r="1267" spans="8:10" x14ac:dyDescent="0.3">
      <c r="H1267"/>
      <c r="I1267"/>
      <c r="J1267"/>
    </row>
    <row r="1268" spans="8:10" x14ac:dyDescent="0.3">
      <c r="H1268"/>
      <c r="I1268"/>
      <c r="J1268"/>
    </row>
    <row r="1269" spans="8:10" x14ac:dyDescent="0.3">
      <c r="H1269"/>
      <c r="I1269"/>
      <c r="J1269"/>
    </row>
    <row r="1270" spans="8:10" x14ac:dyDescent="0.3">
      <c r="H1270"/>
      <c r="I1270"/>
      <c r="J1270"/>
    </row>
    <row r="1271" spans="8:10" x14ac:dyDescent="0.3">
      <c r="H1271"/>
      <c r="I1271"/>
      <c r="J1271"/>
    </row>
    <row r="1272" spans="8:10" x14ac:dyDescent="0.3">
      <c r="H1272"/>
      <c r="I1272"/>
      <c r="J1272"/>
    </row>
    <row r="1273" spans="8:10" x14ac:dyDescent="0.3">
      <c r="H1273"/>
      <c r="I1273"/>
      <c r="J1273"/>
    </row>
    <row r="1274" spans="8:10" x14ac:dyDescent="0.3">
      <c r="H1274"/>
      <c r="I1274"/>
      <c r="J1274"/>
    </row>
    <row r="1275" spans="8:10" x14ac:dyDescent="0.3">
      <c r="H1275"/>
      <c r="I1275"/>
      <c r="J1275"/>
    </row>
    <row r="1276" spans="8:10" x14ac:dyDescent="0.3">
      <c r="H1276"/>
      <c r="I1276"/>
      <c r="J1276"/>
    </row>
    <row r="1277" spans="8:10" x14ac:dyDescent="0.3">
      <c r="H1277"/>
      <c r="I1277"/>
      <c r="J1277"/>
    </row>
    <row r="1278" spans="8:10" x14ac:dyDescent="0.3">
      <c r="H1278"/>
      <c r="I1278"/>
      <c r="J1278"/>
    </row>
    <row r="1279" spans="8:10" x14ac:dyDescent="0.3">
      <c r="H1279"/>
      <c r="I1279"/>
      <c r="J1279"/>
    </row>
    <row r="1280" spans="8:10" x14ac:dyDescent="0.3">
      <c r="H1280"/>
      <c r="I1280"/>
      <c r="J1280"/>
    </row>
    <row r="1281" spans="8:10" x14ac:dyDescent="0.3">
      <c r="H1281"/>
      <c r="I1281"/>
      <c r="J1281"/>
    </row>
    <row r="1282" spans="8:10" x14ac:dyDescent="0.3">
      <c r="H1282"/>
      <c r="I1282"/>
      <c r="J1282"/>
    </row>
    <row r="1283" spans="8:10" x14ac:dyDescent="0.3">
      <c r="H1283"/>
      <c r="I1283"/>
      <c r="J1283"/>
    </row>
    <row r="1284" spans="8:10" x14ac:dyDescent="0.3">
      <c r="H1284"/>
      <c r="I1284"/>
      <c r="J1284"/>
    </row>
    <row r="1285" spans="8:10" x14ac:dyDescent="0.3">
      <c r="H1285"/>
      <c r="I1285"/>
      <c r="J1285"/>
    </row>
    <row r="1286" spans="8:10" x14ac:dyDescent="0.3">
      <c r="H1286"/>
      <c r="I1286"/>
      <c r="J1286"/>
    </row>
    <row r="1287" spans="8:10" x14ac:dyDescent="0.3">
      <c r="H1287"/>
      <c r="I1287"/>
      <c r="J1287"/>
    </row>
    <row r="1288" spans="8:10" x14ac:dyDescent="0.3">
      <c r="H1288"/>
      <c r="I1288"/>
      <c r="J1288"/>
    </row>
    <row r="1289" spans="8:10" x14ac:dyDescent="0.3">
      <c r="H1289"/>
      <c r="I1289"/>
      <c r="J1289"/>
    </row>
    <row r="1290" spans="8:10" x14ac:dyDescent="0.3">
      <c r="H1290"/>
      <c r="I1290"/>
      <c r="J1290"/>
    </row>
    <row r="1291" spans="8:10" x14ac:dyDescent="0.3">
      <c r="H1291"/>
      <c r="I1291"/>
      <c r="J1291"/>
    </row>
    <row r="1292" spans="8:10" x14ac:dyDescent="0.3">
      <c r="H1292"/>
      <c r="I1292"/>
      <c r="J1292"/>
    </row>
    <row r="1293" spans="8:10" x14ac:dyDescent="0.3">
      <c r="H1293"/>
      <c r="I1293"/>
      <c r="J1293"/>
    </row>
    <row r="1294" spans="8:10" x14ac:dyDescent="0.3">
      <c r="H1294"/>
      <c r="I1294"/>
      <c r="J1294"/>
    </row>
    <row r="1295" spans="8:10" x14ac:dyDescent="0.3">
      <c r="H1295"/>
      <c r="I1295"/>
      <c r="J1295"/>
    </row>
    <row r="1296" spans="8:10" x14ac:dyDescent="0.3">
      <c r="H1296"/>
      <c r="I1296"/>
      <c r="J1296"/>
    </row>
    <row r="1297" spans="8:10" x14ac:dyDescent="0.3">
      <c r="H1297"/>
      <c r="I1297"/>
      <c r="J1297"/>
    </row>
    <row r="1298" spans="8:10" x14ac:dyDescent="0.3">
      <c r="H1298"/>
      <c r="I1298"/>
      <c r="J1298"/>
    </row>
    <row r="1299" spans="8:10" x14ac:dyDescent="0.3">
      <c r="H1299"/>
      <c r="I1299"/>
      <c r="J1299"/>
    </row>
    <row r="1300" spans="8:10" x14ac:dyDescent="0.3">
      <c r="H1300"/>
      <c r="I1300"/>
      <c r="J1300"/>
    </row>
    <row r="1301" spans="8:10" x14ac:dyDescent="0.3">
      <c r="H1301"/>
      <c r="I1301"/>
      <c r="J1301"/>
    </row>
    <row r="1302" spans="8:10" x14ac:dyDescent="0.3">
      <c r="H1302"/>
      <c r="I1302"/>
      <c r="J1302"/>
    </row>
    <row r="1303" spans="8:10" x14ac:dyDescent="0.3">
      <c r="H1303"/>
      <c r="I1303"/>
      <c r="J1303"/>
    </row>
    <row r="1304" spans="8:10" x14ac:dyDescent="0.3">
      <c r="H1304"/>
      <c r="I1304"/>
      <c r="J1304"/>
    </row>
    <row r="1305" spans="8:10" x14ac:dyDescent="0.3">
      <c r="H1305"/>
      <c r="I1305"/>
      <c r="J1305"/>
    </row>
    <row r="1306" spans="8:10" x14ac:dyDescent="0.3">
      <c r="H1306"/>
      <c r="I1306"/>
      <c r="J1306"/>
    </row>
    <row r="1307" spans="8:10" x14ac:dyDescent="0.3">
      <c r="H1307"/>
      <c r="I1307"/>
      <c r="J1307"/>
    </row>
    <row r="1308" spans="8:10" x14ac:dyDescent="0.3">
      <c r="H1308"/>
      <c r="I1308"/>
      <c r="J1308"/>
    </row>
    <row r="1309" spans="8:10" x14ac:dyDescent="0.3">
      <c r="H1309"/>
      <c r="I1309"/>
      <c r="J1309"/>
    </row>
    <row r="1310" spans="8:10" x14ac:dyDescent="0.3">
      <c r="H1310"/>
      <c r="I1310"/>
      <c r="J1310"/>
    </row>
    <row r="1311" spans="8:10" x14ac:dyDescent="0.3">
      <c r="H1311"/>
      <c r="I1311"/>
      <c r="J1311"/>
    </row>
    <row r="1312" spans="8:10" x14ac:dyDescent="0.3">
      <c r="H1312"/>
      <c r="I1312"/>
      <c r="J1312"/>
    </row>
    <row r="1313" spans="8:10" x14ac:dyDescent="0.3">
      <c r="H1313"/>
      <c r="I1313"/>
      <c r="J1313"/>
    </row>
    <row r="1314" spans="8:10" x14ac:dyDescent="0.3">
      <c r="H1314"/>
      <c r="I1314"/>
      <c r="J1314"/>
    </row>
    <row r="1315" spans="8:10" x14ac:dyDescent="0.3">
      <c r="H1315"/>
      <c r="I1315"/>
      <c r="J1315"/>
    </row>
    <row r="1316" spans="8:10" x14ac:dyDescent="0.3">
      <c r="H1316"/>
      <c r="I1316"/>
      <c r="J1316"/>
    </row>
    <row r="1317" spans="8:10" x14ac:dyDescent="0.3">
      <c r="H1317"/>
      <c r="I1317"/>
      <c r="J1317"/>
    </row>
    <row r="1318" spans="8:10" x14ac:dyDescent="0.3">
      <c r="H1318"/>
      <c r="I1318"/>
      <c r="J1318"/>
    </row>
    <row r="1319" spans="8:10" x14ac:dyDescent="0.3">
      <c r="H1319"/>
      <c r="I1319"/>
      <c r="J1319"/>
    </row>
    <row r="1320" spans="8:10" x14ac:dyDescent="0.3">
      <c r="H1320"/>
      <c r="I1320"/>
      <c r="J1320"/>
    </row>
    <row r="1321" spans="8:10" x14ac:dyDescent="0.3">
      <c r="H1321"/>
      <c r="I1321"/>
      <c r="J1321"/>
    </row>
    <row r="1322" spans="8:10" x14ac:dyDescent="0.3">
      <c r="H1322"/>
      <c r="I1322"/>
      <c r="J1322"/>
    </row>
    <row r="1323" spans="8:10" x14ac:dyDescent="0.3">
      <c r="H1323"/>
      <c r="I1323"/>
      <c r="J1323"/>
    </row>
    <row r="1324" spans="8:10" x14ac:dyDescent="0.3">
      <c r="H1324"/>
      <c r="I1324"/>
      <c r="J1324"/>
    </row>
    <row r="1325" spans="8:10" x14ac:dyDescent="0.3">
      <c r="H1325"/>
      <c r="I1325"/>
      <c r="J1325"/>
    </row>
    <row r="1326" spans="8:10" x14ac:dyDescent="0.3">
      <c r="H1326"/>
      <c r="I1326"/>
      <c r="J1326"/>
    </row>
    <row r="1327" spans="8:10" x14ac:dyDescent="0.3">
      <c r="H1327"/>
      <c r="I1327"/>
      <c r="J1327"/>
    </row>
    <row r="1328" spans="8:10" x14ac:dyDescent="0.3">
      <c r="H1328"/>
      <c r="I1328"/>
      <c r="J1328"/>
    </row>
    <row r="1329" spans="8:10" x14ac:dyDescent="0.3">
      <c r="H1329"/>
      <c r="I1329"/>
      <c r="J1329"/>
    </row>
    <row r="1330" spans="8:10" x14ac:dyDescent="0.3">
      <c r="H1330"/>
      <c r="I1330"/>
      <c r="J1330"/>
    </row>
    <row r="1331" spans="8:10" x14ac:dyDescent="0.3">
      <c r="H1331"/>
      <c r="I1331"/>
      <c r="J1331"/>
    </row>
    <row r="1332" spans="8:10" x14ac:dyDescent="0.3">
      <c r="H1332"/>
      <c r="I1332"/>
      <c r="J1332"/>
    </row>
    <row r="1333" spans="8:10" x14ac:dyDescent="0.3">
      <c r="H1333"/>
      <c r="I1333"/>
      <c r="J1333"/>
    </row>
    <row r="1334" spans="8:10" x14ac:dyDescent="0.3">
      <c r="H1334"/>
      <c r="I1334"/>
      <c r="J1334"/>
    </row>
    <row r="1335" spans="8:10" x14ac:dyDescent="0.3">
      <c r="H1335"/>
      <c r="I1335"/>
      <c r="J1335"/>
    </row>
    <row r="1336" spans="8:10" x14ac:dyDescent="0.3">
      <c r="H1336"/>
      <c r="I1336"/>
      <c r="J1336"/>
    </row>
    <row r="1337" spans="8:10" x14ac:dyDescent="0.3">
      <c r="H1337"/>
      <c r="I1337"/>
      <c r="J1337"/>
    </row>
    <row r="1338" spans="8:10" x14ac:dyDescent="0.3">
      <c r="H1338"/>
      <c r="I1338"/>
      <c r="J1338"/>
    </row>
    <row r="1339" spans="8:10" x14ac:dyDescent="0.3">
      <c r="H1339"/>
      <c r="I1339"/>
      <c r="J1339"/>
    </row>
    <row r="1340" spans="8:10" x14ac:dyDescent="0.3">
      <c r="H1340"/>
      <c r="I1340"/>
      <c r="J1340"/>
    </row>
    <row r="1341" spans="8:10" x14ac:dyDescent="0.3">
      <c r="H1341"/>
      <c r="I1341"/>
      <c r="J1341"/>
    </row>
    <row r="1342" spans="8:10" x14ac:dyDescent="0.3">
      <c r="H1342"/>
      <c r="I1342"/>
      <c r="J1342"/>
    </row>
    <row r="1343" spans="8:10" x14ac:dyDescent="0.3">
      <c r="H1343"/>
      <c r="I1343"/>
      <c r="J1343"/>
    </row>
    <row r="1344" spans="8:10" x14ac:dyDescent="0.3">
      <c r="H1344"/>
      <c r="I1344"/>
      <c r="J1344"/>
    </row>
    <row r="1345" spans="8:10" x14ac:dyDescent="0.3">
      <c r="H1345"/>
      <c r="I1345"/>
      <c r="J1345"/>
    </row>
    <row r="1346" spans="8:10" x14ac:dyDescent="0.3">
      <c r="H1346"/>
      <c r="I1346"/>
      <c r="J1346"/>
    </row>
    <row r="1347" spans="8:10" x14ac:dyDescent="0.3">
      <c r="H1347"/>
      <c r="I1347"/>
      <c r="J1347"/>
    </row>
    <row r="1348" spans="8:10" x14ac:dyDescent="0.3">
      <c r="H1348"/>
      <c r="I1348"/>
      <c r="J1348"/>
    </row>
    <row r="1349" spans="8:10" x14ac:dyDescent="0.3">
      <c r="H1349"/>
      <c r="I1349"/>
      <c r="J1349"/>
    </row>
    <row r="1350" spans="8:10" x14ac:dyDescent="0.3">
      <c r="H1350"/>
      <c r="I1350"/>
      <c r="J1350"/>
    </row>
    <row r="1351" spans="8:10" x14ac:dyDescent="0.3">
      <c r="H1351"/>
      <c r="I1351"/>
      <c r="J1351"/>
    </row>
    <row r="1352" spans="8:10" x14ac:dyDescent="0.3">
      <c r="H1352"/>
      <c r="I1352"/>
      <c r="J1352"/>
    </row>
    <row r="1353" spans="8:10" x14ac:dyDescent="0.3">
      <c r="H1353"/>
      <c r="I1353"/>
      <c r="J1353"/>
    </row>
    <row r="1354" spans="8:10" x14ac:dyDescent="0.3">
      <c r="H1354"/>
      <c r="I1354"/>
      <c r="J1354"/>
    </row>
    <row r="1355" spans="8:10" x14ac:dyDescent="0.3">
      <c r="H1355"/>
      <c r="I1355"/>
      <c r="J1355"/>
    </row>
    <row r="1356" spans="8:10" x14ac:dyDescent="0.3">
      <c r="H1356"/>
      <c r="I1356"/>
      <c r="J1356"/>
    </row>
    <row r="1357" spans="8:10" x14ac:dyDescent="0.3">
      <c r="H1357"/>
      <c r="I1357"/>
      <c r="J1357"/>
    </row>
    <row r="1358" spans="8:10" x14ac:dyDescent="0.3">
      <c r="H1358"/>
      <c r="I1358"/>
      <c r="J1358"/>
    </row>
    <row r="1359" spans="8:10" x14ac:dyDescent="0.3">
      <c r="H1359"/>
      <c r="I1359"/>
      <c r="J1359"/>
    </row>
    <row r="1360" spans="8:10" x14ac:dyDescent="0.3">
      <c r="H1360"/>
      <c r="I1360"/>
      <c r="J1360"/>
    </row>
  </sheetData>
  <sortState xmlns:xlrd2="http://schemas.microsoft.com/office/spreadsheetml/2017/richdata2" ref="A6:Q735">
    <sortCondition ref="A6:A735"/>
  </sortState>
  <conditionalFormatting sqref="D6:D735">
    <cfRule type="cellIs" dxfId="0" priority="2" operator="equal">
      <formula>$D$737</formula>
    </cfRule>
  </conditionalFormatting>
  <dataValidations disablePrompts="1" count="1">
    <dataValidation type="list" allowBlank="1" showInputMessage="1" showErrorMessage="1" sqref="M6:M722" xr:uid="{ED2A28E3-6169-46F7-B612-C40E9095A147}">
      <formula1>#REF!</formula1>
    </dataValidation>
  </dataValidations>
  <hyperlinks>
    <hyperlink ref="Q470" r:id="rId1" xr:uid="{03F9A383-0EE7-4CED-980B-F63737895605}"/>
  </hyperlinks>
  <pageMargins left="0.7" right="0.7" top="0.75" bottom="0.75" header="0.3" footer="0.3"/>
  <pageSetup paperSize="9" orientation="portrait" horizontalDpi="4294967293" verticalDpi="4294967293"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545D0-44A7-4EEE-BC81-99DB7A6C739B}">
  <sheetPr codeName="Sheet5"/>
  <dimension ref="B1:R90"/>
  <sheetViews>
    <sheetView zoomScale="90" zoomScaleNormal="90" workbookViewId="0">
      <selection activeCell="R10" sqref="R10"/>
    </sheetView>
  </sheetViews>
  <sheetFormatPr defaultRowHeight="14.4" x14ac:dyDescent="0.3"/>
  <cols>
    <col min="9" max="9" width="12.6640625" bestFit="1" customWidth="1"/>
  </cols>
  <sheetData>
    <row r="1" spans="2:18" x14ac:dyDescent="0.3">
      <c r="D1" t="s">
        <v>213</v>
      </c>
      <c r="F1" t="s">
        <v>214</v>
      </c>
      <c r="H1" t="s">
        <v>215</v>
      </c>
      <c r="J1" t="s">
        <v>216</v>
      </c>
      <c r="L1" t="s">
        <v>224</v>
      </c>
    </row>
    <row r="2" spans="2:18" x14ac:dyDescent="0.3">
      <c r="C2" t="s">
        <v>208</v>
      </c>
      <c r="D2">
        <v>2.5854495377010798</v>
      </c>
      <c r="F2">
        <f>H2+H2*$L$3*O2</f>
        <v>2.5854495377010798</v>
      </c>
      <c r="H2">
        <v>2.5854495377010798</v>
      </c>
      <c r="J2">
        <f t="shared" ref="J2:J7" si="0">IF(ISERROR($D$7),H2,IF($D$7&lt;$H$7,D2,H2))</f>
        <v>2.5854495377010798</v>
      </c>
      <c r="N2">
        <v>0</v>
      </c>
      <c r="O2">
        <f>IF(N2=1,-1,IF(N6=-1,1,0))</f>
        <v>0</v>
      </c>
    </row>
    <row r="3" spans="2:18" x14ac:dyDescent="0.3">
      <c r="D3">
        <v>-43.472502132986882</v>
      </c>
      <c r="F3">
        <f>H3+H3*$L$3*O3</f>
        <v>-43.472502132986882</v>
      </c>
      <c r="H3">
        <v>-43.472502132986882</v>
      </c>
      <c r="J3">
        <f t="shared" si="0"/>
        <v>-43.472502132986882</v>
      </c>
      <c r="L3">
        <v>4.7330100818617927E-3</v>
      </c>
      <c r="N3">
        <v>0</v>
      </c>
      <c r="O3">
        <f>IF(N3=1,-1,IF(N2=-1,1,0))</f>
        <v>0</v>
      </c>
    </row>
    <row r="4" spans="2:18" x14ac:dyDescent="0.3">
      <c r="D4">
        <v>1151.7944008975019</v>
      </c>
      <c r="F4">
        <f>H4+H4*$L$3*O4*0.1</f>
        <v>1151.7944008975019</v>
      </c>
      <c r="H4">
        <v>1151.7944008975019</v>
      </c>
      <c r="J4">
        <f t="shared" si="0"/>
        <v>1151.7944008975019</v>
      </c>
      <c r="L4">
        <f>L3*0.98</f>
        <v>4.6383498802245564E-3</v>
      </c>
      <c r="N4">
        <v>0</v>
      </c>
      <c r="O4">
        <f>IF(N4=1,-1,IF(N3=-1,1,0))</f>
        <v>0</v>
      </c>
      <c r="R4" s="3">
        <f>VLOOKUP(MAX(I10:I21),I10:R21,10,FALSE)*50</f>
        <v>1200</v>
      </c>
    </row>
    <row r="5" spans="2:18" x14ac:dyDescent="0.3">
      <c r="B5" s="2">
        <f>D4</f>
        <v>1151.7944008975019</v>
      </c>
      <c r="D5">
        <v>1.5017748787806982</v>
      </c>
      <c r="F5">
        <f>H5+H5*$L$3*O5/4</f>
        <v>1.4982251212193018</v>
      </c>
      <c r="H5">
        <v>1.5</v>
      </c>
      <c r="J5">
        <f t="shared" si="0"/>
        <v>1.5</v>
      </c>
      <c r="N5">
        <v>1</v>
      </c>
      <c r="O5">
        <f>IF(N5=1,-1,IF(N4=-1,1,0))</f>
        <v>-1</v>
      </c>
    </row>
    <row r="6" spans="2:18" x14ac:dyDescent="0.3">
      <c r="B6" s="2"/>
      <c r="D6">
        <v>4.6111796424438651</v>
      </c>
      <c r="F6">
        <f>H6+H6*$L$3*O6</f>
        <v>4.6111796424438651</v>
      </c>
      <c r="H6">
        <v>4.6111796424438651</v>
      </c>
      <c r="J6">
        <f t="shared" si="0"/>
        <v>4.6111796424438651</v>
      </c>
      <c r="N6">
        <v>0</v>
      </c>
      <c r="O6">
        <f>IF(N6=1,-1,IF(N5=-1,1,0))</f>
        <v>0</v>
      </c>
    </row>
    <row r="7" spans="2:18" x14ac:dyDescent="0.3">
      <c r="D7">
        <f>SUM(N10:N90)</f>
        <v>1.0825692485341406E-2</v>
      </c>
      <c r="H7">
        <v>1.0316320609128403E-2</v>
      </c>
      <c r="J7">
        <f t="shared" si="0"/>
        <v>1.0316320609128403E-2</v>
      </c>
    </row>
    <row r="8" spans="2:18" x14ac:dyDescent="0.3">
      <c r="I8">
        <f>MAX(I10:I21)</f>
        <v>4.3859999999999992</v>
      </c>
    </row>
    <row r="9" spans="2:18" x14ac:dyDescent="0.3">
      <c r="B9" t="s">
        <v>192</v>
      </c>
      <c r="C9" t="s">
        <v>209</v>
      </c>
      <c r="D9" t="s">
        <v>210</v>
      </c>
      <c r="E9" t="s">
        <v>211</v>
      </c>
      <c r="F9" t="s">
        <v>212</v>
      </c>
      <c r="H9" t="s">
        <v>408</v>
      </c>
      <c r="I9" t="s">
        <v>409</v>
      </c>
      <c r="K9" t="s">
        <v>812</v>
      </c>
      <c r="L9" t="s">
        <v>217</v>
      </c>
      <c r="M9" t="s">
        <v>218</v>
      </c>
      <c r="N9" t="s">
        <v>219</v>
      </c>
      <c r="O9" t="s">
        <v>220</v>
      </c>
    </row>
    <row r="10" spans="2:18" x14ac:dyDescent="0.3">
      <c r="B10">
        <v>1</v>
      </c>
      <c r="C10">
        <f>B10*$D$2+$D$3</f>
        <v>-40.887052595285802</v>
      </c>
      <c r="D10">
        <f t="shared" ref="D10:D41" si="1">EXP(-$D$4*EXP(-$B$5/B10^$D$5))</f>
        <v>1</v>
      </c>
      <c r="E10">
        <f t="shared" ref="E10:E73" si="2">D10*C10</f>
        <v>-40.887052595285802</v>
      </c>
      <c r="F10">
        <f>IF(E10/MAX($E$10:$E$90)&lt;0,0,E10/MAX($E$10:$E$90))</f>
        <v>0</v>
      </c>
      <c r="H10" s="3">
        <v>20</v>
      </c>
      <c r="I10" s="3">
        <f>AVERAGE(2.22,1.74,2.57,1.86,1.46,3.81,1.72,1.56,1.76,2.06,1.4,2.01,2.28,2.17,1.69)</f>
        <v>2.0206666666666666</v>
      </c>
      <c r="J10">
        <f t="shared" ref="J10:J21" si="3">I10/$D$6</f>
        <v>0.43821035469260955</v>
      </c>
      <c r="K10">
        <f>1/I10</f>
        <v>0.49488617617947872</v>
      </c>
      <c r="L10">
        <f t="shared" ref="L10:L41" si="4">IF(ISERROR(VLOOKUP(B10,$H$10:$I$21,2,FALSE)),0,1)</f>
        <v>0</v>
      </c>
      <c r="M10" t="str">
        <f>IF(L10=1,VLOOKUP(B10,$H$10:$J$21,3,FALSE),"")</f>
        <v/>
      </c>
      <c r="N10" t="str">
        <f>IF(L10=1,(M10-F10)^2,"")</f>
        <v/>
      </c>
      <c r="O10" t="str">
        <f t="shared" ref="O10:O41" si="5">IF(F10&gt;$J$23,B10,"")</f>
        <v/>
      </c>
      <c r="R10" s="3">
        <f>H10</f>
        <v>20</v>
      </c>
    </row>
    <row r="11" spans="2:18" x14ac:dyDescent="0.3">
      <c r="B11">
        <f>B10+1</f>
        <v>2</v>
      </c>
      <c r="C11">
        <f t="shared" ref="C11:C74" si="6">B11*$D$2+$D$3</f>
        <v>-38.301603057584721</v>
      </c>
      <c r="D11">
        <f t="shared" si="1"/>
        <v>1</v>
      </c>
      <c r="E11">
        <f t="shared" si="2"/>
        <v>-38.301603057584721</v>
      </c>
      <c r="F11">
        <f t="shared" ref="F11:F74" si="7">IF(E11/MAX($E$10:$E$90)&lt;0,0,E11/MAX($E$10:$E$90))</f>
        <v>0</v>
      </c>
      <c r="H11" s="3">
        <v>22</v>
      </c>
      <c r="I11" s="3">
        <f>AVERAGE(3.35,2.38,3.15,1.88,2.29,3.81,2.88,2.13,2.29,2.88,2.55,3.23,4.44,3.38,2.73)</f>
        <v>2.8913333333333329</v>
      </c>
      <c r="J11">
        <f t="shared" si="3"/>
        <v>0.62702682556972855</v>
      </c>
      <c r="K11">
        <f t="shared" ref="K11:K21" si="8">1/I11</f>
        <v>0.34586119437399132</v>
      </c>
      <c r="L11">
        <f t="shared" si="4"/>
        <v>0</v>
      </c>
      <c r="M11" t="str">
        <f t="shared" ref="M11:M74" si="9">IF(L11=1,VLOOKUP(B11,$H$10:$J$21,3,FALSE),"")</f>
        <v/>
      </c>
      <c r="N11" t="str">
        <f t="shared" ref="N11:N74" si="10">IF(L11=1,(M11-F11)^2,"")</f>
        <v/>
      </c>
      <c r="O11" t="str">
        <f t="shared" si="5"/>
        <v/>
      </c>
      <c r="R11" s="3">
        <f t="shared" ref="R11:R22" si="11">H11</f>
        <v>22</v>
      </c>
    </row>
    <row r="12" spans="2:18" x14ac:dyDescent="0.3">
      <c r="B12">
        <f t="shared" ref="B12:B75" si="12">B11+1</f>
        <v>3</v>
      </c>
      <c r="C12">
        <f t="shared" si="6"/>
        <v>-35.71615351988364</v>
      </c>
      <c r="D12">
        <f t="shared" si="1"/>
        <v>1</v>
      </c>
      <c r="E12">
        <f t="shared" si="2"/>
        <v>-35.71615351988364</v>
      </c>
      <c r="F12">
        <f t="shared" si="7"/>
        <v>0</v>
      </c>
      <c r="H12" s="3">
        <v>24</v>
      </c>
      <c r="I12" s="3">
        <f>AVERAGE(5.54,3.31,5.56,3.06,3.04,4.88,5.29,3.75,3.85,4.04,5.07,5.17,4.48,4.04,4.71)</f>
        <v>4.3859999999999992</v>
      </c>
      <c r="J12">
        <f t="shared" si="3"/>
        <v>0.95116658644760077</v>
      </c>
      <c r="K12">
        <f t="shared" si="8"/>
        <v>0.22799817601459194</v>
      </c>
      <c r="L12">
        <f t="shared" si="4"/>
        <v>0</v>
      </c>
      <c r="M12" t="str">
        <f t="shared" si="9"/>
        <v/>
      </c>
      <c r="N12" t="str">
        <f t="shared" si="10"/>
        <v/>
      </c>
      <c r="O12" t="str">
        <f t="shared" si="5"/>
        <v/>
      </c>
      <c r="R12" s="3">
        <f t="shared" si="11"/>
        <v>24</v>
      </c>
    </row>
    <row r="13" spans="2:18" x14ac:dyDescent="0.3">
      <c r="B13">
        <f t="shared" si="12"/>
        <v>4</v>
      </c>
      <c r="C13">
        <f t="shared" si="6"/>
        <v>-33.130703982182567</v>
      </c>
      <c r="D13">
        <f t="shared" si="1"/>
        <v>1</v>
      </c>
      <c r="E13">
        <f t="shared" si="2"/>
        <v>-33.130703982182567</v>
      </c>
      <c r="F13">
        <f t="shared" si="7"/>
        <v>0</v>
      </c>
      <c r="H13" s="3">
        <v>26</v>
      </c>
      <c r="I13" s="3">
        <f>AVERAGE(3.92,3.9,4.86,3.79,3.38,4.05,5.25,4.63,3.42,5.13,5.03,4.31,3.77,4.53,5.25)</f>
        <v>4.3480000000000008</v>
      </c>
      <c r="J13">
        <f t="shared" si="3"/>
        <v>0.94292574506935012</v>
      </c>
      <c r="K13">
        <f t="shared" si="8"/>
        <v>0.22999080036798525</v>
      </c>
      <c r="L13">
        <f t="shared" si="4"/>
        <v>0</v>
      </c>
      <c r="M13" t="str">
        <f t="shared" si="9"/>
        <v/>
      </c>
      <c r="N13" t="str">
        <f t="shared" si="10"/>
        <v/>
      </c>
      <c r="O13" t="str">
        <f t="shared" si="5"/>
        <v/>
      </c>
      <c r="R13" s="3">
        <f t="shared" si="11"/>
        <v>26</v>
      </c>
    </row>
    <row r="14" spans="2:18" x14ac:dyDescent="0.3">
      <c r="B14">
        <f t="shared" si="12"/>
        <v>5</v>
      </c>
      <c r="C14">
        <f t="shared" si="6"/>
        <v>-30.545254444481483</v>
      </c>
      <c r="D14">
        <f t="shared" si="1"/>
        <v>1</v>
      </c>
      <c r="E14">
        <f t="shared" si="2"/>
        <v>-30.545254444481483</v>
      </c>
      <c r="F14">
        <f t="shared" si="7"/>
        <v>0</v>
      </c>
      <c r="H14" s="3">
        <v>28</v>
      </c>
      <c r="I14" s="3">
        <f>AVERAGE(3.26,4.29,4.63,4.17,4.08,3.86,4.33,4.75,3.96,5.04,4.83,3.15,3.75,6.33,4.42)</f>
        <v>4.3233333333333333</v>
      </c>
      <c r="J14">
        <f t="shared" si="3"/>
        <v>0.93757642698171328</v>
      </c>
      <c r="K14">
        <f t="shared" si="8"/>
        <v>0.2313030069390902</v>
      </c>
      <c r="L14">
        <f t="shared" si="4"/>
        <v>0</v>
      </c>
      <c r="M14" t="str">
        <f t="shared" si="9"/>
        <v/>
      </c>
      <c r="N14" t="str">
        <f t="shared" si="10"/>
        <v/>
      </c>
      <c r="O14" t="str">
        <f t="shared" si="5"/>
        <v/>
      </c>
      <c r="R14" s="3">
        <f t="shared" si="11"/>
        <v>28</v>
      </c>
    </row>
    <row r="15" spans="2:18" x14ac:dyDescent="0.3">
      <c r="B15">
        <f t="shared" si="12"/>
        <v>6</v>
      </c>
      <c r="C15">
        <f t="shared" si="6"/>
        <v>-27.959804906780406</v>
      </c>
      <c r="D15">
        <f t="shared" si="1"/>
        <v>1</v>
      </c>
      <c r="E15">
        <f t="shared" si="2"/>
        <v>-27.959804906780406</v>
      </c>
      <c r="F15">
        <f t="shared" si="7"/>
        <v>0</v>
      </c>
      <c r="H15" s="3">
        <v>30</v>
      </c>
      <c r="I15" s="3">
        <f>AVERAGE(2.55,2.58,1.96,2.29,3.02,3.51,3.39,3.55,3.54,2.27,2.64,2.56,3.69,2.18,2.04)</f>
        <v>2.7846666666666664</v>
      </c>
      <c r="J15">
        <f t="shared" si="3"/>
        <v>0.60389463924481357</v>
      </c>
      <c r="K15">
        <f t="shared" si="8"/>
        <v>0.35910940866650709</v>
      </c>
      <c r="L15">
        <f t="shared" si="4"/>
        <v>0</v>
      </c>
      <c r="M15" t="str">
        <f t="shared" si="9"/>
        <v/>
      </c>
      <c r="N15" t="str">
        <f t="shared" si="10"/>
        <v/>
      </c>
      <c r="O15" t="str">
        <f t="shared" si="5"/>
        <v/>
      </c>
      <c r="R15" s="3">
        <f t="shared" si="11"/>
        <v>30</v>
      </c>
    </row>
    <row r="16" spans="2:18" x14ac:dyDescent="0.3">
      <c r="B16">
        <f t="shared" si="12"/>
        <v>7</v>
      </c>
      <c r="C16">
        <f t="shared" si="6"/>
        <v>-25.374355369079325</v>
      </c>
      <c r="D16">
        <f t="shared" si="1"/>
        <v>1</v>
      </c>
      <c r="E16">
        <f t="shared" si="2"/>
        <v>-25.374355369079325</v>
      </c>
      <c r="F16">
        <f t="shared" si="7"/>
        <v>0</v>
      </c>
      <c r="H16" s="3"/>
      <c r="I16" s="3"/>
      <c r="J16">
        <f t="shared" si="3"/>
        <v>0</v>
      </c>
      <c r="K16" t="e">
        <f t="shared" si="8"/>
        <v>#DIV/0!</v>
      </c>
      <c r="L16">
        <f t="shared" si="4"/>
        <v>0</v>
      </c>
      <c r="M16" t="str">
        <f t="shared" si="9"/>
        <v/>
      </c>
      <c r="N16" t="str">
        <f t="shared" si="10"/>
        <v/>
      </c>
      <c r="O16" t="str">
        <f t="shared" si="5"/>
        <v/>
      </c>
      <c r="R16" s="3">
        <f t="shared" si="11"/>
        <v>0</v>
      </c>
    </row>
    <row r="17" spans="2:18" x14ac:dyDescent="0.3">
      <c r="B17">
        <f t="shared" si="12"/>
        <v>8</v>
      </c>
      <c r="C17">
        <f t="shared" si="6"/>
        <v>-22.788905831378244</v>
      </c>
      <c r="D17">
        <f t="shared" si="1"/>
        <v>1</v>
      </c>
      <c r="E17">
        <f t="shared" si="2"/>
        <v>-22.788905831378244</v>
      </c>
      <c r="F17">
        <f t="shared" si="7"/>
        <v>0</v>
      </c>
      <c r="H17" s="3"/>
      <c r="I17" s="3"/>
      <c r="J17">
        <f t="shared" si="3"/>
        <v>0</v>
      </c>
      <c r="K17" t="e">
        <f t="shared" si="8"/>
        <v>#DIV/0!</v>
      </c>
      <c r="L17">
        <f t="shared" si="4"/>
        <v>0</v>
      </c>
      <c r="M17" t="str">
        <f t="shared" si="9"/>
        <v/>
      </c>
      <c r="N17" t="str">
        <f t="shared" si="10"/>
        <v/>
      </c>
      <c r="O17" t="str">
        <f t="shared" si="5"/>
        <v/>
      </c>
      <c r="R17" s="3">
        <f t="shared" si="11"/>
        <v>0</v>
      </c>
    </row>
    <row r="18" spans="2:18" x14ac:dyDescent="0.3">
      <c r="B18">
        <f t="shared" si="12"/>
        <v>9</v>
      </c>
      <c r="C18">
        <f t="shared" si="6"/>
        <v>-20.203456293677164</v>
      </c>
      <c r="D18">
        <f t="shared" si="1"/>
        <v>0.99999999999999956</v>
      </c>
      <c r="E18">
        <f t="shared" si="2"/>
        <v>-20.203456293677153</v>
      </c>
      <c r="F18">
        <f t="shared" si="7"/>
        <v>0</v>
      </c>
      <c r="H18" s="3"/>
      <c r="I18" s="3"/>
      <c r="J18">
        <f t="shared" si="3"/>
        <v>0</v>
      </c>
      <c r="K18" t="e">
        <f t="shared" si="8"/>
        <v>#DIV/0!</v>
      </c>
      <c r="L18">
        <f t="shared" si="4"/>
        <v>0</v>
      </c>
      <c r="M18" t="str">
        <f t="shared" si="9"/>
        <v/>
      </c>
      <c r="N18" t="str">
        <f t="shared" si="10"/>
        <v/>
      </c>
      <c r="O18" t="str">
        <f t="shared" si="5"/>
        <v/>
      </c>
      <c r="R18" s="3">
        <f t="shared" si="11"/>
        <v>0</v>
      </c>
    </row>
    <row r="19" spans="2:18" x14ac:dyDescent="0.3">
      <c r="B19">
        <f t="shared" si="12"/>
        <v>10</v>
      </c>
      <c r="C19">
        <f t="shared" si="6"/>
        <v>-17.618006755976083</v>
      </c>
      <c r="D19">
        <f t="shared" si="1"/>
        <v>0.99999999999979694</v>
      </c>
      <c r="E19">
        <f t="shared" si="2"/>
        <v>-17.618006755972505</v>
      </c>
      <c r="F19">
        <f t="shared" si="7"/>
        <v>0</v>
      </c>
      <c r="H19" s="3"/>
      <c r="I19" s="3"/>
      <c r="J19">
        <f t="shared" si="3"/>
        <v>0</v>
      </c>
      <c r="K19" t="e">
        <f t="shared" si="8"/>
        <v>#DIV/0!</v>
      </c>
      <c r="L19">
        <f t="shared" si="4"/>
        <v>0</v>
      </c>
      <c r="M19" t="str">
        <f t="shared" si="9"/>
        <v/>
      </c>
      <c r="N19" t="str">
        <f t="shared" si="10"/>
        <v/>
      </c>
      <c r="O19" t="str">
        <f t="shared" si="5"/>
        <v/>
      </c>
      <c r="R19" s="3">
        <f t="shared" si="11"/>
        <v>0</v>
      </c>
    </row>
    <row r="20" spans="2:18" x14ac:dyDescent="0.3">
      <c r="B20">
        <f t="shared" si="12"/>
        <v>11</v>
      </c>
      <c r="C20">
        <f t="shared" si="6"/>
        <v>-15.032557218275006</v>
      </c>
      <c r="D20">
        <f t="shared" si="1"/>
        <v>0.9999999999743806</v>
      </c>
      <c r="E20">
        <f t="shared" si="2"/>
        <v>-15.032557217889881</v>
      </c>
      <c r="F20">
        <f t="shared" si="7"/>
        <v>0</v>
      </c>
      <c r="H20" s="3"/>
      <c r="I20" s="3"/>
      <c r="J20">
        <f t="shared" si="3"/>
        <v>0</v>
      </c>
      <c r="K20" t="e">
        <f t="shared" si="8"/>
        <v>#DIV/0!</v>
      </c>
      <c r="L20">
        <f t="shared" si="4"/>
        <v>0</v>
      </c>
      <c r="M20" t="str">
        <f t="shared" si="9"/>
        <v/>
      </c>
      <c r="N20" t="str">
        <f t="shared" si="10"/>
        <v/>
      </c>
      <c r="O20" t="str">
        <f t="shared" si="5"/>
        <v/>
      </c>
      <c r="R20" s="3">
        <f t="shared" si="11"/>
        <v>0</v>
      </c>
    </row>
    <row r="21" spans="2:18" x14ac:dyDescent="0.3">
      <c r="B21">
        <f t="shared" si="12"/>
        <v>12</v>
      </c>
      <c r="C21">
        <f t="shared" si="6"/>
        <v>-12.447107680573925</v>
      </c>
      <c r="D21">
        <f t="shared" si="1"/>
        <v>0.99999999879508483</v>
      </c>
      <c r="E21">
        <f t="shared" si="2"/>
        <v>-12.447107665576217</v>
      </c>
      <c r="F21">
        <f t="shared" si="7"/>
        <v>0</v>
      </c>
      <c r="H21" s="3"/>
      <c r="I21" s="3"/>
      <c r="J21">
        <f t="shared" si="3"/>
        <v>0</v>
      </c>
      <c r="K21" t="e">
        <f t="shared" si="8"/>
        <v>#DIV/0!</v>
      </c>
      <c r="L21">
        <f t="shared" si="4"/>
        <v>0</v>
      </c>
      <c r="M21" t="str">
        <f t="shared" si="9"/>
        <v/>
      </c>
      <c r="N21" t="str">
        <f t="shared" si="10"/>
        <v/>
      </c>
      <c r="O21" t="str">
        <f t="shared" si="5"/>
        <v/>
      </c>
      <c r="R21" s="3">
        <f t="shared" si="11"/>
        <v>0</v>
      </c>
    </row>
    <row r="22" spans="2:18" x14ac:dyDescent="0.3">
      <c r="B22">
        <f t="shared" si="12"/>
        <v>13</v>
      </c>
      <c r="C22">
        <f t="shared" si="6"/>
        <v>-9.861658142872848</v>
      </c>
      <c r="D22">
        <f t="shared" si="1"/>
        <v>0.99999997259139306</v>
      </c>
      <c r="E22">
        <f t="shared" si="2"/>
        <v>-9.8616578725785367</v>
      </c>
      <c r="F22">
        <f t="shared" si="7"/>
        <v>0</v>
      </c>
      <c r="L22">
        <f t="shared" si="4"/>
        <v>0</v>
      </c>
      <c r="M22" t="str">
        <f t="shared" si="9"/>
        <v/>
      </c>
      <c r="N22" t="str">
        <f t="shared" si="10"/>
        <v/>
      </c>
      <c r="O22" t="str">
        <f t="shared" si="5"/>
        <v/>
      </c>
      <c r="R22" s="3">
        <f t="shared" si="11"/>
        <v>0</v>
      </c>
    </row>
    <row r="23" spans="2:18" x14ac:dyDescent="0.3">
      <c r="B23">
        <f t="shared" si="12"/>
        <v>14</v>
      </c>
      <c r="C23">
        <f t="shared" si="6"/>
        <v>-7.2762086051717674</v>
      </c>
      <c r="D23">
        <f t="shared" si="1"/>
        <v>0.99999963959256022</v>
      </c>
      <c r="E23">
        <f t="shared" si="2"/>
        <v>-7.2762059827720531</v>
      </c>
      <c r="F23">
        <f t="shared" si="7"/>
        <v>0</v>
      </c>
      <c r="H23" s="4" t="s">
        <v>223</v>
      </c>
      <c r="I23" s="4"/>
      <c r="J23" s="4">
        <v>0.05</v>
      </c>
      <c r="L23">
        <f t="shared" si="4"/>
        <v>0</v>
      </c>
      <c r="M23" t="str">
        <f t="shared" si="9"/>
        <v/>
      </c>
      <c r="N23" t="str">
        <f t="shared" si="10"/>
        <v/>
      </c>
      <c r="O23" t="str">
        <f t="shared" si="5"/>
        <v/>
      </c>
    </row>
    <row r="24" spans="2:18" x14ac:dyDescent="0.3">
      <c r="B24">
        <f t="shared" si="12"/>
        <v>15</v>
      </c>
      <c r="C24">
        <f t="shared" si="6"/>
        <v>-4.6907590674706867</v>
      </c>
      <c r="D24">
        <f t="shared" si="1"/>
        <v>0.9999968934445016</v>
      </c>
      <c r="E24">
        <f t="shared" si="2"/>
        <v>-4.6907444953673139</v>
      </c>
      <c r="F24">
        <f t="shared" si="7"/>
        <v>0</v>
      </c>
      <c r="H24" t="s">
        <v>221</v>
      </c>
      <c r="I24" t="s">
        <v>222</v>
      </c>
      <c r="L24">
        <f t="shared" si="4"/>
        <v>0</v>
      </c>
      <c r="M24" t="str">
        <f t="shared" si="9"/>
        <v/>
      </c>
      <c r="N24" t="str">
        <f t="shared" si="10"/>
        <v/>
      </c>
      <c r="O24" t="str">
        <f t="shared" si="5"/>
        <v/>
      </c>
    </row>
    <row r="25" spans="2:18" x14ac:dyDescent="0.3">
      <c r="B25">
        <f t="shared" si="12"/>
        <v>16</v>
      </c>
      <c r="C25">
        <f t="shared" si="6"/>
        <v>-2.1053095297696061</v>
      </c>
      <c r="D25">
        <f t="shared" si="1"/>
        <v>0.99998077647890504</v>
      </c>
      <c r="E25">
        <f t="shared" si="2"/>
        <v>-2.1052690583074489</v>
      </c>
      <c r="F25">
        <f t="shared" si="7"/>
        <v>0</v>
      </c>
      <c r="H25">
        <f>MIN(O10:O90)</f>
        <v>18</v>
      </c>
      <c r="I25">
        <f>MAX(O10:O90)</f>
        <v>34</v>
      </c>
      <c r="L25">
        <f t="shared" si="4"/>
        <v>0</v>
      </c>
      <c r="M25" t="str">
        <f t="shared" si="9"/>
        <v/>
      </c>
      <c r="N25" t="str">
        <f t="shared" si="10"/>
        <v/>
      </c>
      <c r="O25" t="str">
        <f t="shared" si="5"/>
        <v/>
      </c>
    </row>
    <row r="26" spans="2:18" x14ac:dyDescent="0.3">
      <c r="B26">
        <f t="shared" si="12"/>
        <v>17</v>
      </c>
      <c r="C26">
        <f t="shared" si="6"/>
        <v>0.4801400079314746</v>
      </c>
      <c r="D26">
        <f t="shared" si="1"/>
        <v>0.99990866409098689</v>
      </c>
      <c r="E26">
        <f t="shared" si="2"/>
        <v>0.48009615390739663</v>
      </c>
      <c r="F26">
        <f t="shared" si="7"/>
        <v>2.4794519158822619E-2</v>
      </c>
      <c r="L26">
        <f t="shared" si="4"/>
        <v>0</v>
      </c>
      <c r="M26" t="str">
        <f t="shared" si="9"/>
        <v/>
      </c>
      <c r="N26" t="str">
        <f t="shared" si="10"/>
        <v/>
      </c>
      <c r="O26" t="str">
        <f t="shared" si="5"/>
        <v/>
      </c>
    </row>
    <row r="27" spans="2:18" x14ac:dyDescent="0.3">
      <c r="B27">
        <f t="shared" si="12"/>
        <v>18</v>
      </c>
      <c r="C27">
        <f t="shared" si="6"/>
        <v>3.0655895456325553</v>
      </c>
      <c r="D27">
        <f t="shared" si="1"/>
        <v>0.99964950938322483</v>
      </c>
      <c r="E27">
        <f t="shared" si="2"/>
        <v>3.064515085261927</v>
      </c>
      <c r="F27">
        <f t="shared" si="7"/>
        <v>0.15826658342421088</v>
      </c>
      <c r="L27">
        <f t="shared" si="4"/>
        <v>0</v>
      </c>
      <c r="M27" t="str">
        <f t="shared" si="9"/>
        <v/>
      </c>
      <c r="N27" t="str">
        <f t="shared" si="10"/>
        <v/>
      </c>
      <c r="O27">
        <f t="shared" si="5"/>
        <v>18</v>
      </c>
    </row>
    <row r="28" spans="2:18" x14ac:dyDescent="0.3">
      <c r="B28">
        <f t="shared" si="12"/>
        <v>19</v>
      </c>
      <c r="C28">
        <f t="shared" si="6"/>
        <v>5.6510390833336359</v>
      </c>
      <c r="D28">
        <f t="shared" si="1"/>
        <v>0.99887092160129087</v>
      </c>
      <c r="E28">
        <f t="shared" si="2"/>
        <v>5.6446586171743824</v>
      </c>
      <c r="F28">
        <f t="shared" si="7"/>
        <v>0.29151784510137724</v>
      </c>
      <c r="L28">
        <f t="shared" si="4"/>
        <v>0</v>
      </c>
      <c r="M28" t="str">
        <f t="shared" si="9"/>
        <v/>
      </c>
      <c r="N28" t="str">
        <f t="shared" si="10"/>
        <v/>
      </c>
      <c r="O28">
        <f t="shared" si="5"/>
        <v>19</v>
      </c>
    </row>
    <row r="29" spans="2:18" x14ac:dyDescent="0.3">
      <c r="B29">
        <f t="shared" si="12"/>
        <v>20</v>
      </c>
      <c r="C29">
        <f t="shared" si="6"/>
        <v>8.2364886210347166</v>
      </c>
      <c r="D29">
        <f t="shared" si="1"/>
        <v>0.99685412443739962</v>
      </c>
      <c r="E29">
        <f t="shared" si="2"/>
        <v>8.2105776527601666</v>
      </c>
      <c r="F29">
        <f t="shared" si="7"/>
        <v>0.42403448404968858</v>
      </c>
      <c r="L29">
        <f t="shared" si="4"/>
        <v>1</v>
      </c>
      <c r="M29">
        <f t="shared" si="9"/>
        <v>0.43821035469260955</v>
      </c>
      <c r="N29">
        <f t="shared" si="10"/>
        <v>2.0095530848482869E-4</v>
      </c>
      <c r="O29">
        <f t="shared" si="5"/>
        <v>20</v>
      </c>
    </row>
    <row r="30" spans="2:18" x14ac:dyDescent="0.3">
      <c r="B30">
        <f t="shared" si="12"/>
        <v>21</v>
      </c>
      <c r="C30">
        <f t="shared" si="6"/>
        <v>10.82193815873579</v>
      </c>
      <c r="D30">
        <f t="shared" si="1"/>
        <v>0.9922416744070699</v>
      </c>
      <c r="E30">
        <f t="shared" si="2"/>
        <v>10.737978038953763</v>
      </c>
      <c r="F30">
        <f t="shared" si="7"/>
        <v>0.55456183109771362</v>
      </c>
      <c r="L30">
        <f t="shared" si="4"/>
        <v>0</v>
      </c>
      <c r="M30" t="str">
        <f t="shared" si="9"/>
        <v/>
      </c>
      <c r="N30" t="str">
        <f t="shared" si="10"/>
        <v/>
      </c>
      <c r="O30">
        <f t="shared" si="5"/>
        <v>21</v>
      </c>
    </row>
    <row r="31" spans="2:18" x14ac:dyDescent="0.3">
      <c r="B31">
        <f t="shared" si="12"/>
        <v>22</v>
      </c>
      <c r="C31">
        <f t="shared" si="6"/>
        <v>13.407387696436871</v>
      </c>
      <c r="D31">
        <f t="shared" si="1"/>
        <v>0.98275976261546227</v>
      </c>
      <c r="E31">
        <f t="shared" si="2"/>
        <v>13.176241149843769</v>
      </c>
      <c r="F31">
        <f t="shared" si="7"/>
        <v>0.6804856922350675</v>
      </c>
      <c r="L31">
        <f t="shared" si="4"/>
        <v>1</v>
      </c>
      <c r="M31">
        <f t="shared" si="9"/>
        <v>0.62702682556972855</v>
      </c>
      <c r="N31">
        <f t="shared" si="10"/>
        <v>2.8578504251424875E-3</v>
      </c>
      <c r="O31">
        <f t="shared" si="5"/>
        <v>22</v>
      </c>
    </row>
    <row r="32" spans="2:18" x14ac:dyDescent="0.3">
      <c r="B32">
        <f t="shared" si="12"/>
        <v>23</v>
      </c>
      <c r="C32">
        <f t="shared" si="6"/>
        <v>15.992837234137951</v>
      </c>
      <c r="D32">
        <f t="shared" si="1"/>
        <v>0.96501086417089055</v>
      </c>
      <c r="E32">
        <f t="shared" si="2"/>
        <v>15.433261679859859</v>
      </c>
      <c r="F32">
        <f t="shared" si="7"/>
        <v>0.79704929791672041</v>
      </c>
      <c r="L32">
        <f t="shared" si="4"/>
        <v>0</v>
      </c>
      <c r="M32" t="str">
        <f t="shared" si="9"/>
        <v/>
      </c>
      <c r="N32" t="str">
        <f t="shared" si="10"/>
        <v/>
      </c>
      <c r="O32">
        <f t="shared" si="5"/>
        <v>23</v>
      </c>
    </row>
    <row r="33" spans="2:15" x14ac:dyDescent="0.3">
      <c r="B33">
        <f t="shared" si="12"/>
        <v>24</v>
      </c>
      <c r="C33">
        <f t="shared" si="6"/>
        <v>18.578286771839032</v>
      </c>
      <c r="D33">
        <f t="shared" si="1"/>
        <v>0.93450049996546303</v>
      </c>
      <c r="E33">
        <f t="shared" si="2"/>
        <v>17.361418276785322</v>
      </c>
      <c r="F33">
        <f t="shared" si="7"/>
        <v>0.89662875776988138</v>
      </c>
      <c r="L33">
        <f t="shared" si="4"/>
        <v>1</v>
      </c>
      <c r="M33">
        <f t="shared" si="9"/>
        <v>0.95116658644760077</v>
      </c>
      <c r="N33">
        <f t="shared" si="10"/>
        <v>2.9743747568802717E-3</v>
      </c>
      <c r="O33">
        <f t="shared" si="5"/>
        <v>24</v>
      </c>
    </row>
    <row r="34" spans="2:15" x14ac:dyDescent="0.3">
      <c r="B34">
        <f t="shared" si="12"/>
        <v>25</v>
      </c>
      <c r="C34">
        <f t="shared" si="6"/>
        <v>21.163736309540106</v>
      </c>
      <c r="D34">
        <f t="shared" si="1"/>
        <v>0.8861220057600625</v>
      </c>
      <c r="E34">
        <f t="shared" si="2"/>
        <v>18.75365246798674</v>
      </c>
      <c r="F34">
        <f t="shared" si="7"/>
        <v>0.96853055712062108</v>
      </c>
      <c r="L34">
        <f t="shared" si="4"/>
        <v>0</v>
      </c>
      <c r="M34" t="str">
        <f t="shared" si="9"/>
        <v/>
      </c>
      <c r="N34" t="str">
        <f t="shared" si="10"/>
        <v/>
      </c>
      <c r="O34">
        <f t="shared" si="5"/>
        <v>25</v>
      </c>
    </row>
    <row r="35" spans="2:15" x14ac:dyDescent="0.3">
      <c r="B35">
        <f t="shared" si="12"/>
        <v>26</v>
      </c>
      <c r="C35">
        <f t="shared" si="6"/>
        <v>23.749185847241186</v>
      </c>
      <c r="D35">
        <f t="shared" si="1"/>
        <v>0.81531195477538154</v>
      </c>
      <c r="E35">
        <f t="shared" si="2"/>
        <v>19.362995137438038</v>
      </c>
      <c r="F35">
        <f t="shared" si="7"/>
        <v>1</v>
      </c>
      <c r="L35">
        <f t="shared" si="4"/>
        <v>1</v>
      </c>
      <c r="M35">
        <f t="shared" si="9"/>
        <v>0.94292574506935012</v>
      </c>
      <c r="N35">
        <f t="shared" si="10"/>
        <v>3.2574705758888125E-3</v>
      </c>
      <c r="O35">
        <f t="shared" si="5"/>
        <v>26</v>
      </c>
    </row>
    <row r="36" spans="2:15" x14ac:dyDescent="0.3">
      <c r="B36">
        <f t="shared" si="12"/>
        <v>27</v>
      </c>
      <c r="C36">
        <f t="shared" si="6"/>
        <v>26.334635384942267</v>
      </c>
      <c r="D36">
        <f t="shared" si="1"/>
        <v>0.71989864572135798</v>
      </c>
      <c r="E36">
        <f t="shared" si="2"/>
        <v>18.95826834918569</v>
      </c>
      <c r="F36">
        <f t="shared" si="7"/>
        <v>0.97909792439756316</v>
      </c>
      <c r="L36">
        <f t="shared" si="4"/>
        <v>0</v>
      </c>
      <c r="M36" t="str">
        <f t="shared" si="9"/>
        <v/>
      </c>
      <c r="N36" t="str">
        <f t="shared" si="10"/>
        <v/>
      </c>
      <c r="O36">
        <f t="shared" si="5"/>
        <v>27</v>
      </c>
    </row>
    <row r="37" spans="2:15" x14ac:dyDescent="0.3">
      <c r="B37">
        <f t="shared" si="12"/>
        <v>28</v>
      </c>
      <c r="C37">
        <f t="shared" si="6"/>
        <v>28.920084922643348</v>
      </c>
      <c r="D37">
        <f t="shared" si="1"/>
        <v>0.60221420365854517</v>
      </c>
      <c r="E37">
        <f t="shared" si="2"/>
        <v>17.416085911427164</v>
      </c>
      <c r="F37">
        <f t="shared" si="7"/>
        <v>0.89945206244221199</v>
      </c>
      <c r="L37">
        <f t="shared" si="4"/>
        <v>1</v>
      </c>
      <c r="M37">
        <f t="shared" si="9"/>
        <v>0.93757642698171328</v>
      </c>
      <c r="N37">
        <f t="shared" si="10"/>
        <v>1.4534671715407841E-3</v>
      </c>
      <c r="O37">
        <f t="shared" si="5"/>
        <v>28</v>
      </c>
    </row>
    <row r="38" spans="2:15" x14ac:dyDescent="0.3">
      <c r="B38">
        <f t="shared" si="12"/>
        <v>29</v>
      </c>
      <c r="C38">
        <f t="shared" si="6"/>
        <v>31.505534460344428</v>
      </c>
      <c r="D38">
        <f t="shared" si="1"/>
        <v>0.47043981403972807</v>
      </c>
      <c r="E38">
        <f t="shared" si="2"/>
        <v>14.821457772746678</v>
      </c>
      <c r="F38">
        <f t="shared" si="7"/>
        <v>0.76545274465775337</v>
      </c>
      <c r="L38">
        <f t="shared" si="4"/>
        <v>0</v>
      </c>
      <c r="M38" t="str">
        <f t="shared" si="9"/>
        <v/>
      </c>
      <c r="N38" t="str">
        <f t="shared" si="10"/>
        <v/>
      </c>
      <c r="O38">
        <f t="shared" si="5"/>
        <v>29</v>
      </c>
    </row>
    <row r="39" spans="2:15" x14ac:dyDescent="0.3">
      <c r="B39">
        <f t="shared" si="12"/>
        <v>30</v>
      </c>
      <c r="C39">
        <f t="shared" si="6"/>
        <v>34.090983998045509</v>
      </c>
      <c r="D39">
        <f t="shared" si="1"/>
        <v>0.33787013505064384</v>
      </c>
      <c r="E39">
        <f t="shared" si="2"/>
        <v>11.518325367428973</v>
      </c>
      <c r="F39">
        <f t="shared" si="7"/>
        <v>0.59486279295492239</v>
      </c>
      <c r="L39">
        <f t="shared" si="4"/>
        <v>1</v>
      </c>
      <c r="M39">
        <f t="shared" si="9"/>
        <v>0.60389463924481357</v>
      </c>
      <c r="N39">
        <f t="shared" si="10"/>
        <v>8.1574247404221013E-5</v>
      </c>
      <c r="O39">
        <f t="shared" si="5"/>
        <v>30</v>
      </c>
    </row>
    <row r="40" spans="2:15" x14ac:dyDescent="0.3">
      <c r="B40">
        <f t="shared" si="12"/>
        <v>31</v>
      </c>
      <c r="C40">
        <f t="shared" si="6"/>
        <v>36.67643353574659</v>
      </c>
      <c r="D40">
        <f t="shared" si="1"/>
        <v>0.2194632693331624</v>
      </c>
      <c r="E40">
        <f t="shared" si="2"/>
        <v>8.0491300112353841</v>
      </c>
      <c r="F40">
        <f t="shared" si="7"/>
        <v>0.41569653631077569</v>
      </c>
      <c r="L40">
        <f t="shared" si="4"/>
        <v>0</v>
      </c>
      <c r="M40" t="str">
        <f t="shared" si="9"/>
        <v/>
      </c>
      <c r="N40" t="str">
        <f t="shared" si="10"/>
        <v/>
      </c>
      <c r="O40">
        <f t="shared" si="5"/>
        <v>31</v>
      </c>
    </row>
    <row r="41" spans="2:15" x14ac:dyDescent="0.3">
      <c r="B41">
        <f t="shared" si="12"/>
        <v>32</v>
      </c>
      <c r="C41">
        <f t="shared" si="6"/>
        <v>39.26188307344767</v>
      </c>
      <c r="D41">
        <f t="shared" si="1"/>
        <v>0.12678159093096794</v>
      </c>
      <c r="E41">
        <f t="shared" si="2"/>
        <v>4.9776839989973372</v>
      </c>
      <c r="F41">
        <f t="shared" si="7"/>
        <v>0.25707200583720985</v>
      </c>
      <c r="L41">
        <f t="shared" si="4"/>
        <v>0</v>
      </c>
      <c r="M41" t="str">
        <f t="shared" si="9"/>
        <v/>
      </c>
      <c r="N41" t="str">
        <f t="shared" si="10"/>
        <v/>
      </c>
      <c r="O41">
        <f t="shared" si="5"/>
        <v>32</v>
      </c>
    </row>
    <row r="42" spans="2:15" x14ac:dyDescent="0.3">
      <c r="B42">
        <f t="shared" si="12"/>
        <v>33</v>
      </c>
      <c r="C42">
        <f t="shared" si="6"/>
        <v>41.847332611148751</v>
      </c>
      <c r="D42">
        <f t="shared" ref="D42:D73" si="13">EXP(-$D$4*EXP(-$B$5/B42^$D$5))</f>
        <v>6.4058700733368779E-2</v>
      </c>
      <c r="E42">
        <f t="shared" si="2"/>
        <v>2.6806857562273216</v>
      </c>
      <c r="F42">
        <f t="shared" si="7"/>
        <v>0.13844375506990958</v>
      </c>
      <c r="L42">
        <f t="shared" ref="L42:L73" si="14">IF(ISERROR(VLOOKUP(B42,$H$10:$I$21,2,FALSE)),0,1)</f>
        <v>0</v>
      </c>
      <c r="M42" t="str">
        <f t="shared" si="9"/>
        <v/>
      </c>
      <c r="N42" t="str">
        <f t="shared" si="10"/>
        <v/>
      </c>
      <c r="O42">
        <f t="shared" ref="O42:O73" si="15">IF(F42&gt;$J$23,B42,"")</f>
        <v>33</v>
      </c>
    </row>
    <row r="43" spans="2:15" x14ac:dyDescent="0.3">
      <c r="B43">
        <f t="shared" si="12"/>
        <v>34</v>
      </c>
      <c r="C43">
        <f t="shared" si="6"/>
        <v>44.432782148849832</v>
      </c>
      <c r="D43">
        <f t="shared" si="13"/>
        <v>2.7853368759472981E-2</v>
      </c>
      <c r="E43">
        <f t="shared" si="2"/>
        <v>1.2376026662012427</v>
      </c>
      <c r="F43">
        <f t="shared" si="7"/>
        <v>6.3915869286583563E-2</v>
      </c>
      <c r="L43">
        <f t="shared" si="14"/>
        <v>0</v>
      </c>
      <c r="M43" t="str">
        <f t="shared" si="9"/>
        <v/>
      </c>
      <c r="N43" t="str">
        <f t="shared" si="10"/>
        <v/>
      </c>
      <c r="O43">
        <f t="shared" si="15"/>
        <v>34</v>
      </c>
    </row>
    <row r="44" spans="2:15" x14ac:dyDescent="0.3">
      <c r="B44">
        <f t="shared" si="12"/>
        <v>35</v>
      </c>
      <c r="C44">
        <f t="shared" si="6"/>
        <v>47.018231686550912</v>
      </c>
      <c r="D44">
        <f t="shared" si="13"/>
        <v>1.0262817934987565E-2</v>
      </c>
      <c r="E44">
        <f t="shared" si="2"/>
        <v>0.48253955142413535</v>
      </c>
      <c r="F44">
        <f t="shared" si="7"/>
        <v>2.4920708185850491E-2</v>
      </c>
      <c r="L44">
        <f t="shared" si="14"/>
        <v>0</v>
      </c>
      <c r="M44" t="str">
        <f t="shared" si="9"/>
        <v/>
      </c>
      <c r="N44" t="str">
        <f t="shared" si="10"/>
        <v/>
      </c>
      <c r="O44" t="str">
        <f t="shared" si="15"/>
        <v/>
      </c>
    </row>
    <row r="45" spans="2:15" x14ac:dyDescent="0.3">
      <c r="B45">
        <f t="shared" si="12"/>
        <v>36</v>
      </c>
      <c r="C45">
        <f t="shared" si="6"/>
        <v>49.603681224251993</v>
      </c>
      <c r="D45">
        <f t="shared" si="13"/>
        <v>3.1590084105281996E-3</v>
      </c>
      <c r="E45">
        <f t="shared" si="2"/>
        <v>0.1566984461805718</v>
      </c>
      <c r="F45">
        <f t="shared" si="7"/>
        <v>8.0926760074219034E-3</v>
      </c>
      <c r="L45">
        <f t="shared" si="14"/>
        <v>0</v>
      </c>
      <c r="M45" t="str">
        <f t="shared" si="9"/>
        <v/>
      </c>
      <c r="N45" t="str">
        <f t="shared" si="10"/>
        <v/>
      </c>
      <c r="O45" t="str">
        <f t="shared" si="15"/>
        <v/>
      </c>
    </row>
    <row r="46" spans="2:15" x14ac:dyDescent="0.3">
      <c r="B46">
        <f t="shared" si="12"/>
        <v>37</v>
      </c>
      <c r="C46">
        <f t="shared" si="6"/>
        <v>52.189130761953074</v>
      </c>
      <c r="D46">
        <f t="shared" si="13"/>
        <v>8.0193090090551562E-4</v>
      </c>
      <c r="E46">
        <f t="shared" si="2"/>
        <v>4.1852076649408786E-2</v>
      </c>
      <c r="F46">
        <f t="shared" si="7"/>
        <v>2.1614464266681795E-3</v>
      </c>
      <c r="L46">
        <f t="shared" si="14"/>
        <v>0</v>
      </c>
      <c r="M46" t="str">
        <f t="shared" si="9"/>
        <v/>
      </c>
      <c r="N46" t="str">
        <f t="shared" si="10"/>
        <v/>
      </c>
      <c r="O46" t="str">
        <f t="shared" si="15"/>
        <v/>
      </c>
    </row>
    <row r="47" spans="2:15" x14ac:dyDescent="0.3">
      <c r="B47">
        <f t="shared" si="12"/>
        <v>38</v>
      </c>
      <c r="C47">
        <f t="shared" si="6"/>
        <v>54.774580299654154</v>
      </c>
      <c r="D47">
        <f t="shared" si="13"/>
        <v>1.6600153319625824E-4</v>
      </c>
      <c r="E47">
        <f t="shared" si="2"/>
        <v>9.0926643099241509E-3</v>
      </c>
      <c r="F47">
        <f t="shared" si="7"/>
        <v>4.6958976363856186E-4</v>
      </c>
      <c r="L47">
        <f t="shared" si="14"/>
        <v>0</v>
      </c>
      <c r="M47" t="str">
        <f t="shared" si="9"/>
        <v/>
      </c>
      <c r="N47" t="str">
        <f t="shared" si="10"/>
        <v/>
      </c>
      <c r="O47" t="str">
        <f t="shared" si="15"/>
        <v/>
      </c>
    </row>
    <row r="48" spans="2:15" x14ac:dyDescent="0.3">
      <c r="B48">
        <f t="shared" si="12"/>
        <v>39</v>
      </c>
      <c r="C48">
        <f t="shared" si="6"/>
        <v>57.360029837355235</v>
      </c>
      <c r="D48">
        <f t="shared" si="13"/>
        <v>2.7752166327990472E-5</v>
      </c>
      <c r="E48">
        <f t="shared" si="2"/>
        <v>1.5918650886247788E-3</v>
      </c>
      <c r="F48">
        <f t="shared" si="7"/>
        <v>8.2211717625592606E-5</v>
      </c>
      <c r="L48">
        <f t="shared" si="14"/>
        <v>0</v>
      </c>
      <c r="M48" t="str">
        <f t="shared" si="9"/>
        <v/>
      </c>
      <c r="N48" t="str">
        <f t="shared" si="10"/>
        <v/>
      </c>
      <c r="O48" t="str">
        <f t="shared" si="15"/>
        <v/>
      </c>
    </row>
    <row r="49" spans="2:15" x14ac:dyDescent="0.3">
      <c r="B49">
        <f t="shared" si="12"/>
        <v>40</v>
      </c>
      <c r="C49">
        <f t="shared" si="6"/>
        <v>59.945479375056316</v>
      </c>
      <c r="D49">
        <f t="shared" si="13"/>
        <v>3.7177070403165113E-6</v>
      </c>
      <c r="E49">
        <f t="shared" si="2"/>
        <v>2.2285973070779508E-4</v>
      </c>
      <c r="F49">
        <f t="shared" si="7"/>
        <v>1.1509569109837735E-5</v>
      </c>
      <c r="L49">
        <f t="shared" si="14"/>
        <v>0</v>
      </c>
      <c r="M49" t="str">
        <f t="shared" si="9"/>
        <v/>
      </c>
      <c r="N49" t="str">
        <f t="shared" si="10"/>
        <v/>
      </c>
      <c r="O49" t="str">
        <f t="shared" si="15"/>
        <v/>
      </c>
    </row>
    <row r="50" spans="2:15" x14ac:dyDescent="0.3">
      <c r="B50">
        <f t="shared" si="12"/>
        <v>41</v>
      </c>
      <c r="C50">
        <f t="shared" si="6"/>
        <v>62.530928912757382</v>
      </c>
      <c r="D50">
        <f t="shared" si="13"/>
        <v>3.9664526291713658E-7</v>
      </c>
      <c r="E50">
        <f t="shared" si="2"/>
        <v>2.4802596739053429E-5</v>
      </c>
      <c r="F50">
        <f t="shared" si="7"/>
        <v>1.28092769548333E-6</v>
      </c>
      <c r="L50">
        <f t="shared" si="14"/>
        <v>0</v>
      </c>
      <c r="M50" t="str">
        <f t="shared" si="9"/>
        <v/>
      </c>
      <c r="N50" t="str">
        <f t="shared" si="10"/>
        <v/>
      </c>
      <c r="O50" t="str">
        <f t="shared" si="15"/>
        <v/>
      </c>
    </row>
    <row r="51" spans="2:15" x14ac:dyDescent="0.3">
      <c r="B51">
        <f t="shared" si="12"/>
        <v>42</v>
      </c>
      <c r="C51">
        <f t="shared" si="6"/>
        <v>65.116378450458456</v>
      </c>
      <c r="D51">
        <f t="shared" si="13"/>
        <v>3.3557941298828174E-8</v>
      </c>
      <c r="E51">
        <f t="shared" si="2"/>
        <v>2.1851716056327646E-6</v>
      </c>
      <c r="F51">
        <f t="shared" si="7"/>
        <v>1.1285297497223303E-7</v>
      </c>
      <c r="L51">
        <f t="shared" si="14"/>
        <v>0</v>
      </c>
      <c r="M51" t="str">
        <f t="shared" si="9"/>
        <v/>
      </c>
      <c r="N51" t="str">
        <f t="shared" si="10"/>
        <v/>
      </c>
      <c r="O51" t="str">
        <f t="shared" si="15"/>
        <v/>
      </c>
    </row>
    <row r="52" spans="2:15" x14ac:dyDescent="0.3">
      <c r="B52">
        <f t="shared" si="12"/>
        <v>43</v>
      </c>
      <c r="C52">
        <f t="shared" si="6"/>
        <v>67.70182798815955</v>
      </c>
      <c r="D52">
        <f t="shared" si="13"/>
        <v>2.2454764053196457E-9</v>
      </c>
      <c r="E52">
        <f t="shared" si="2"/>
        <v>1.5202285734442148E-7</v>
      </c>
      <c r="F52">
        <f t="shared" si="7"/>
        <v>7.8512056768783544E-9</v>
      </c>
      <c r="L52">
        <f t="shared" si="14"/>
        <v>0</v>
      </c>
      <c r="M52" t="str">
        <f t="shared" si="9"/>
        <v/>
      </c>
      <c r="N52" t="str">
        <f t="shared" si="10"/>
        <v/>
      </c>
      <c r="O52" t="str">
        <f t="shared" si="15"/>
        <v/>
      </c>
    </row>
    <row r="53" spans="2:15" x14ac:dyDescent="0.3">
      <c r="B53">
        <f t="shared" si="12"/>
        <v>44</v>
      </c>
      <c r="C53">
        <f t="shared" si="6"/>
        <v>70.287277525860617</v>
      </c>
      <c r="D53">
        <f t="shared" si="13"/>
        <v>1.187125981077902E-10</v>
      </c>
      <c r="E53">
        <f t="shared" si="2"/>
        <v>8.343985329018206E-9</v>
      </c>
      <c r="F53">
        <f t="shared" si="7"/>
        <v>4.3092431051047706E-10</v>
      </c>
      <c r="L53">
        <f t="shared" si="14"/>
        <v>0</v>
      </c>
      <c r="M53" t="str">
        <f t="shared" si="9"/>
        <v/>
      </c>
      <c r="N53" t="str">
        <f t="shared" si="10"/>
        <v/>
      </c>
      <c r="O53" t="str">
        <f t="shared" si="15"/>
        <v/>
      </c>
    </row>
    <row r="54" spans="2:15" x14ac:dyDescent="0.3">
      <c r="B54">
        <f t="shared" si="12"/>
        <v>45</v>
      </c>
      <c r="C54">
        <f t="shared" si="6"/>
        <v>72.872727063561712</v>
      </c>
      <c r="D54">
        <f t="shared" si="13"/>
        <v>4.9610180999078093E-12</v>
      </c>
      <c r="E54">
        <f t="shared" si="2"/>
        <v>3.6152291795197131E-10</v>
      </c>
      <c r="F54">
        <f t="shared" si="7"/>
        <v>1.8670815924183786E-11</v>
      </c>
      <c r="L54">
        <f t="shared" si="14"/>
        <v>0</v>
      </c>
      <c r="M54" t="str">
        <f t="shared" si="9"/>
        <v/>
      </c>
      <c r="N54" t="str">
        <f t="shared" si="10"/>
        <v/>
      </c>
      <c r="O54" t="str">
        <f t="shared" si="15"/>
        <v/>
      </c>
    </row>
    <row r="55" spans="2:15" x14ac:dyDescent="0.3">
      <c r="B55">
        <f t="shared" si="12"/>
        <v>46</v>
      </c>
      <c r="C55">
        <f t="shared" si="6"/>
        <v>75.458176601262778</v>
      </c>
      <c r="D55">
        <f t="shared" si="13"/>
        <v>1.6418945158187103E-13</v>
      </c>
      <c r="E55">
        <f t="shared" si="2"/>
        <v>1.2389436633529309E-11</v>
      </c>
      <c r="F55">
        <f t="shared" si="7"/>
        <v>6.3985124954013611E-13</v>
      </c>
      <c r="L55">
        <f t="shared" si="14"/>
        <v>0</v>
      </c>
      <c r="M55" t="str">
        <f t="shared" si="9"/>
        <v/>
      </c>
      <c r="N55" t="str">
        <f t="shared" si="10"/>
        <v/>
      </c>
      <c r="O55" t="str">
        <f t="shared" si="15"/>
        <v/>
      </c>
    </row>
    <row r="56" spans="2:15" x14ac:dyDescent="0.3">
      <c r="B56">
        <f t="shared" si="12"/>
        <v>47</v>
      </c>
      <c r="C56">
        <f t="shared" si="6"/>
        <v>78.043626138963873</v>
      </c>
      <c r="D56">
        <f t="shared" si="13"/>
        <v>4.3170170448777919E-15</v>
      </c>
      <c r="E56">
        <f t="shared" si="2"/>
        <v>3.3691566428597701E-13</v>
      </c>
      <c r="F56">
        <f t="shared" si="7"/>
        <v>1.7399976702703191E-14</v>
      </c>
      <c r="L56">
        <f t="shared" si="14"/>
        <v>0</v>
      </c>
      <c r="M56" t="str">
        <f t="shared" si="9"/>
        <v/>
      </c>
      <c r="N56" t="str">
        <f t="shared" si="10"/>
        <v/>
      </c>
      <c r="O56" t="str">
        <f t="shared" si="15"/>
        <v/>
      </c>
    </row>
    <row r="57" spans="2:15" x14ac:dyDescent="0.3">
      <c r="B57">
        <f t="shared" si="12"/>
        <v>48</v>
      </c>
      <c r="C57">
        <f t="shared" si="6"/>
        <v>80.629075676664939</v>
      </c>
      <c r="D57">
        <f t="shared" si="13"/>
        <v>9.0561072066672865E-17</v>
      </c>
      <c r="E57">
        <f t="shared" si="2"/>
        <v>7.3018555330236738E-15</v>
      </c>
      <c r="F57">
        <f t="shared" si="7"/>
        <v>3.7710361858768713E-16</v>
      </c>
      <c r="L57">
        <f t="shared" si="14"/>
        <v>0</v>
      </c>
      <c r="M57" t="str">
        <f t="shared" si="9"/>
        <v/>
      </c>
      <c r="N57" t="str">
        <f t="shared" si="10"/>
        <v/>
      </c>
      <c r="O57" t="str">
        <f t="shared" si="15"/>
        <v/>
      </c>
    </row>
    <row r="58" spans="2:15" x14ac:dyDescent="0.3">
      <c r="B58">
        <f t="shared" si="12"/>
        <v>49</v>
      </c>
      <c r="C58">
        <f t="shared" si="6"/>
        <v>83.214525214366034</v>
      </c>
      <c r="D58">
        <f t="shared" si="13"/>
        <v>1.5237289630010241E-18</v>
      </c>
      <c r="E58">
        <f t="shared" si="2"/>
        <v>1.2679638221150853E-16</v>
      </c>
      <c r="F58">
        <f t="shared" si="7"/>
        <v>6.5483868229843113E-18</v>
      </c>
      <c r="L58">
        <f t="shared" si="14"/>
        <v>0</v>
      </c>
      <c r="M58" t="str">
        <f t="shared" si="9"/>
        <v/>
      </c>
      <c r="N58" t="str">
        <f t="shared" si="10"/>
        <v/>
      </c>
      <c r="O58" t="str">
        <f t="shared" si="15"/>
        <v/>
      </c>
    </row>
    <row r="59" spans="2:15" x14ac:dyDescent="0.3">
      <c r="B59">
        <f t="shared" si="12"/>
        <v>50</v>
      </c>
      <c r="C59">
        <f t="shared" si="6"/>
        <v>85.799974752067101</v>
      </c>
      <c r="D59">
        <f t="shared" si="13"/>
        <v>2.0689425964971592E-20</v>
      </c>
      <c r="E59">
        <f t="shared" si="2"/>
        <v>1.7751522254293242E-18</v>
      </c>
      <c r="F59">
        <f t="shared" si="7"/>
        <v>9.167756397341112E-20</v>
      </c>
      <c r="L59">
        <f t="shared" si="14"/>
        <v>0</v>
      </c>
      <c r="M59" t="str">
        <f t="shared" si="9"/>
        <v/>
      </c>
      <c r="N59" t="str">
        <f t="shared" si="10"/>
        <v/>
      </c>
      <c r="O59" t="str">
        <f t="shared" si="15"/>
        <v/>
      </c>
    </row>
    <row r="60" spans="2:15" x14ac:dyDescent="0.3">
      <c r="B60">
        <f t="shared" si="12"/>
        <v>51</v>
      </c>
      <c r="C60">
        <f t="shared" si="6"/>
        <v>88.385424289768196</v>
      </c>
      <c r="D60">
        <f t="shared" si="13"/>
        <v>2.282716842000908E-22</v>
      </c>
      <c r="E60">
        <f t="shared" si="2"/>
        <v>2.0175889661365E-20</v>
      </c>
      <c r="F60">
        <f t="shared" si="7"/>
        <v>1.0419818585997186E-21</v>
      </c>
      <c r="L60">
        <f t="shared" si="14"/>
        <v>0</v>
      </c>
      <c r="M60" t="str">
        <f t="shared" si="9"/>
        <v/>
      </c>
      <c r="N60" t="str">
        <f t="shared" si="10"/>
        <v/>
      </c>
      <c r="O60" t="str">
        <f t="shared" si="15"/>
        <v/>
      </c>
    </row>
    <row r="61" spans="2:15" x14ac:dyDescent="0.3">
      <c r="B61">
        <f t="shared" si="12"/>
        <v>52</v>
      </c>
      <c r="C61">
        <f t="shared" si="6"/>
        <v>90.970873827469262</v>
      </c>
      <c r="D61">
        <f t="shared" si="13"/>
        <v>2.0619433261177886E-24</v>
      </c>
      <c r="E61">
        <f t="shared" si="2"/>
        <v>1.8757678615965366E-22</v>
      </c>
      <c r="F61">
        <f t="shared" si="7"/>
        <v>9.6873848714126349E-24</v>
      </c>
      <c r="L61">
        <f t="shared" si="14"/>
        <v>0</v>
      </c>
      <c r="M61" t="str">
        <f t="shared" si="9"/>
        <v/>
      </c>
      <c r="N61" t="str">
        <f t="shared" si="10"/>
        <v/>
      </c>
      <c r="O61" t="str">
        <f t="shared" si="15"/>
        <v/>
      </c>
    </row>
    <row r="62" spans="2:15" x14ac:dyDescent="0.3">
      <c r="B62">
        <f t="shared" si="12"/>
        <v>53</v>
      </c>
      <c r="C62">
        <f t="shared" si="6"/>
        <v>93.556323365170357</v>
      </c>
      <c r="D62">
        <f t="shared" si="13"/>
        <v>1.5370974658237668E-26</v>
      </c>
      <c r="E62">
        <f t="shared" si="2"/>
        <v>1.4380518755639222E-24</v>
      </c>
      <c r="F62">
        <f t="shared" si="7"/>
        <v>7.4268049201927043E-26</v>
      </c>
      <c r="L62">
        <f t="shared" si="14"/>
        <v>0</v>
      </c>
      <c r="M62" t="str">
        <f t="shared" si="9"/>
        <v/>
      </c>
      <c r="N62" t="str">
        <f t="shared" si="10"/>
        <v/>
      </c>
      <c r="O62" t="str">
        <f t="shared" si="15"/>
        <v/>
      </c>
    </row>
    <row r="63" spans="2:15" x14ac:dyDescent="0.3">
      <c r="B63">
        <f t="shared" si="12"/>
        <v>54</v>
      </c>
      <c r="C63">
        <f t="shared" si="6"/>
        <v>96.141772902871423</v>
      </c>
      <c r="D63">
        <f t="shared" si="13"/>
        <v>9.5363043863493752E-29</v>
      </c>
      <c r="E63">
        <f t="shared" si="2"/>
        <v>9.1683721064505824E-27</v>
      </c>
      <c r="F63">
        <f t="shared" si="7"/>
        <v>4.7349968542437342E-28</v>
      </c>
      <c r="L63">
        <f t="shared" si="14"/>
        <v>0</v>
      </c>
      <c r="M63" t="str">
        <f t="shared" si="9"/>
        <v/>
      </c>
      <c r="N63" t="str">
        <f t="shared" si="10"/>
        <v/>
      </c>
      <c r="O63" t="str">
        <f t="shared" si="15"/>
        <v/>
      </c>
    </row>
    <row r="64" spans="2:15" x14ac:dyDescent="0.3">
      <c r="B64">
        <f t="shared" si="12"/>
        <v>55</v>
      </c>
      <c r="C64">
        <f t="shared" si="6"/>
        <v>98.727222440572518</v>
      </c>
      <c r="D64">
        <f t="shared" si="13"/>
        <v>4.9670667386069866E-31</v>
      </c>
      <c r="E64">
        <f t="shared" si="2"/>
        <v>4.9038470277962101E-29</v>
      </c>
      <c r="F64">
        <f t="shared" si="7"/>
        <v>2.5325870264330651E-30</v>
      </c>
      <c r="L64">
        <f t="shared" si="14"/>
        <v>0</v>
      </c>
      <c r="M64" t="str">
        <f t="shared" si="9"/>
        <v/>
      </c>
      <c r="N64" t="str">
        <f t="shared" si="10"/>
        <v/>
      </c>
      <c r="O64" t="str">
        <f t="shared" si="15"/>
        <v/>
      </c>
    </row>
    <row r="65" spans="2:15" x14ac:dyDescent="0.3">
      <c r="B65">
        <f t="shared" si="12"/>
        <v>56</v>
      </c>
      <c r="C65">
        <f t="shared" si="6"/>
        <v>101.31267197827358</v>
      </c>
      <c r="D65">
        <f t="shared" si="13"/>
        <v>2.1915090349922586E-33</v>
      </c>
      <c r="E65">
        <f t="shared" si="2"/>
        <v>2.220276359995936E-31</v>
      </c>
      <c r="F65">
        <f t="shared" si="7"/>
        <v>1.146659565958919E-32</v>
      </c>
      <c r="L65">
        <f t="shared" si="14"/>
        <v>0</v>
      </c>
      <c r="M65" t="str">
        <f t="shared" si="9"/>
        <v/>
      </c>
      <c r="N65" t="str">
        <f t="shared" si="10"/>
        <v/>
      </c>
      <c r="O65" t="str">
        <f t="shared" si="15"/>
        <v/>
      </c>
    </row>
    <row r="66" spans="2:15" x14ac:dyDescent="0.3">
      <c r="B66">
        <f t="shared" si="12"/>
        <v>57</v>
      </c>
      <c r="C66">
        <f t="shared" si="6"/>
        <v>103.89812151597468</v>
      </c>
      <c r="D66">
        <f t="shared" si="13"/>
        <v>8.2651877634996473E-36</v>
      </c>
      <c r="E66">
        <f t="shared" si="2"/>
        <v>8.5873748260443328E-34</v>
      </c>
      <c r="F66">
        <f t="shared" si="7"/>
        <v>4.4349413740443399E-35</v>
      </c>
      <c r="L66">
        <f t="shared" si="14"/>
        <v>0</v>
      </c>
      <c r="M66" t="str">
        <f t="shared" si="9"/>
        <v/>
      </c>
      <c r="N66" t="str">
        <f t="shared" si="10"/>
        <v/>
      </c>
      <c r="O66" t="str">
        <f t="shared" si="15"/>
        <v/>
      </c>
    </row>
    <row r="67" spans="2:15" x14ac:dyDescent="0.3">
      <c r="B67">
        <f t="shared" si="12"/>
        <v>58</v>
      </c>
      <c r="C67">
        <f t="shared" si="6"/>
        <v>106.48357105367575</v>
      </c>
      <c r="D67">
        <f t="shared" si="13"/>
        <v>2.6890636654574617E-38</v>
      </c>
      <c r="E67">
        <f t="shared" si="2"/>
        <v>2.8634110188859738E-36</v>
      </c>
      <c r="F67">
        <f t="shared" si="7"/>
        <v>1.4788058348212952E-37</v>
      </c>
      <c r="L67">
        <f t="shared" si="14"/>
        <v>0</v>
      </c>
      <c r="M67" t="str">
        <f t="shared" si="9"/>
        <v/>
      </c>
      <c r="N67" t="str">
        <f t="shared" si="10"/>
        <v/>
      </c>
      <c r="O67" t="str">
        <f t="shared" si="15"/>
        <v/>
      </c>
    </row>
    <row r="68" spans="2:15" x14ac:dyDescent="0.3">
      <c r="B68">
        <f t="shared" si="12"/>
        <v>59</v>
      </c>
      <c r="C68">
        <f t="shared" si="6"/>
        <v>109.06902059137684</v>
      </c>
      <c r="D68">
        <f t="shared" si="13"/>
        <v>7.6166460734683452E-41</v>
      </c>
      <c r="E68">
        <f t="shared" si="2"/>
        <v>8.3074012742434851E-39</v>
      </c>
      <c r="F68">
        <f t="shared" si="7"/>
        <v>4.2903493056098841E-40</v>
      </c>
      <c r="L68">
        <f t="shared" si="14"/>
        <v>0</v>
      </c>
      <c r="M68" t="str">
        <f t="shared" si="9"/>
        <v/>
      </c>
      <c r="N68" t="str">
        <f t="shared" si="10"/>
        <v/>
      </c>
      <c r="O68" t="str">
        <f t="shared" si="15"/>
        <v/>
      </c>
    </row>
    <row r="69" spans="2:15" x14ac:dyDescent="0.3">
      <c r="B69">
        <f t="shared" si="12"/>
        <v>60</v>
      </c>
      <c r="C69">
        <f t="shared" si="6"/>
        <v>111.65447012907791</v>
      </c>
      <c r="D69">
        <f t="shared" si="13"/>
        <v>1.8953747678266533E-43</v>
      </c>
      <c r="E69">
        <f t="shared" si="2"/>
        <v>2.1162706539770903E-41</v>
      </c>
      <c r="F69">
        <f t="shared" si="7"/>
        <v>1.0929459202751723E-42</v>
      </c>
      <c r="L69">
        <f t="shared" si="14"/>
        <v>0</v>
      </c>
      <c r="M69" t="str">
        <f t="shared" si="9"/>
        <v/>
      </c>
      <c r="N69" t="str">
        <f t="shared" si="10"/>
        <v/>
      </c>
      <c r="O69" t="str">
        <f t="shared" si="15"/>
        <v/>
      </c>
    </row>
    <row r="70" spans="2:15" x14ac:dyDescent="0.3">
      <c r="B70">
        <f t="shared" si="12"/>
        <v>61</v>
      </c>
      <c r="C70">
        <f t="shared" si="6"/>
        <v>114.239919666779</v>
      </c>
      <c r="D70">
        <f t="shared" si="13"/>
        <v>4.1812631399653256E-46</v>
      </c>
      <c r="E70">
        <f t="shared" si="2"/>
        <v>4.7766716521530293E-44</v>
      </c>
      <c r="F70">
        <f t="shared" si="7"/>
        <v>2.466907427414167E-45</v>
      </c>
      <c r="L70">
        <f t="shared" si="14"/>
        <v>0</v>
      </c>
      <c r="M70" t="str">
        <f t="shared" si="9"/>
        <v/>
      </c>
      <c r="N70" t="str">
        <f t="shared" si="10"/>
        <v/>
      </c>
      <c r="O70" t="str">
        <f t="shared" si="15"/>
        <v/>
      </c>
    </row>
    <row r="71" spans="2:15" x14ac:dyDescent="0.3">
      <c r="B71">
        <f t="shared" si="12"/>
        <v>62</v>
      </c>
      <c r="C71">
        <f t="shared" si="6"/>
        <v>116.82536920448007</v>
      </c>
      <c r="D71">
        <f t="shared" si="13"/>
        <v>8.2499973485126246E-49</v>
      </c>
      <c r="E71">
        <f t="shared" si="2"/>
        <v>9.6380898617596903E-47</v>
      </c>
      <c r="F71">
        <f t="shared" si="7"/>
        <v>4.9775821319732708E-48</v>
      </c>
      <c r="L71">
        <f t="shared" si="14"/>
        <v>0</v>
      </c>
      <c r="M71" t="str">
        <f t="shared" si="9"/>
        <v/>
      </c>
      <c r="N71" t="str">
        <f t="shared" si="10"/>
        <v/>
      </c>
      <c r="O71" t="str">
        <f t="shared" si="15"/>
        <v/>
      </c>
    </row>
    <row r="72" spans="2:15" x14ac:dyDescent="0.3">
      <c r="B72">
        <f t="shared" si="12"/>
        <v>63</v>
      </c>
      <c r="C72">
        <f t="shared" si="6"/>
        <v>119.41081874218116</v>
      </c>
      <c r="D72">
        <f t="shared" si="13"/>
        <v>1.4686289394820604E-51</v>
      </c>
      <c r="E72">
        <f t="shared" si="2"/>
        <v>1.7537018409201406E-49</v>
      </c>
      <c r="F72">
        <f t="shared" si="7"/>
        <v>9.0569760952394523E-51</v>
      </c>
      <c r="L72">
        <f t="shared" si="14"/>
        <v>0</v>
      </c>
      <c r="M72" t="str">
        <f t="shared" si="9"/>
        <v/>
      </c>
      <c r="N72" t="str">
        <f t="shared" si="10"/>
        <v/>
      </c>
      <c r="O72" t="str">
        <f t="shared" si="15"/>
        <v/>
      </c>
    </row>
    <row r="73" spans="2:15" x14ac:dyDescent="0.3">
      <c r="B73">
        <f t="shared" si="12"/>
        <v>64</v>
      </c>
      <c r="C73">
        <f t="shared" si="6"/>
        <v>121.99626827988223</v>
      </c>
      <c r="D73">
        <f t="shared" si="13"/>
        <v>2.3788822676702265E-54</v>
      </c>
      <c r="E73">
        <f t="shared" si="2"/>
        <v>2.9021475933295158E-52</v>
      </c>
      <c r="F73">
        <f t="shared" si="7"/>
        <v>1.4988113010049051E-53</v>
      </c>
      <c r="L73">
        <f t="shared" si="14"/>
        <v>0</v>
      </c>
      <c r="M73" t="str">
        <f t="shared" si="9"/>
        <v/>
      </c>
      <c r="N73" t="str">
        <f t="shared" si="10"/>
        <v/>
      </c>
      <c r="O73" t="str">
        <f t="shared" si="15"/>
        <v/>
      </c>
    </row>
    <row r="74" spans="2:15" x14ac:dyDescent="0.3">
      <c r="B74">
        <f t="shared" si="12"/>
        <v>65</v>
      </c>
      <c r="C74">
        <f t="shared" si="6"/>
        <v>124.5817178175833</v>
      </c>
      <c r="D74">
        <f t="shared" ref="D74:D90" si="16">EXP(-$D$4*EXP(-$B$5/B74^$D$5))</f>
        <v>3.5353235147948105E-57</v>
      </c>
      <c r="E74">
        <f t="shared" ref="E74:E89" si="17">D74*C74</f>
        <v>4.4043667651403386E-55</v>
      </c>
      <c r="F74">
        <f t="shared" si="7"/>
        <v>2.2746309307409609E-56</v>
      </c>
      <c r="L74">
        <f t="shared" ref="L74:L90" si="18">IF(ISERROR(VLOOKUP(B74,$H$10:$I$21,2,FALSE)),0,1)</f>
        <v>0</v>
      </c>
      <c r="M74" t="str">
        <f t="shared" si="9"/>
        <v/>
      </c>
      <c r="N74" t="str">
        <f t="shared" si="10"/>
        <v/>
      </c>
      <c r="O74" t="str">
        <f t="shared" ref="O74:O90" si="19">IF(F74&gt;$J$23,B74,"")</f>
        <v/>
      </c>
    </row>
    <row r="75" spans="2:15" x14ac:dyDescent="0.3">
      <c r="B75">
        <f t="shared" si="12"/>
        <v>66</v>
      </c>
      <c r="C75">
        <f t="shared" ref="C75:C90" si="20">B75*$D$2+$D$3</f>
        <v>127.16716735528439</v>
      </c>
      <c r="D75">
        <f t="shared" si="16"/>
        <v>4.8592264809678301E-60</v>
      </c>
      <c r="E75">
        <f t="shared" si="17"/>
        <v>6.1793406712246569E-58</v>
      </c>
      <c r="F75">
        <f t="shared" ref="F75:F90" si="21">IF(E75/MAX($E$10:$E$90)&lt;0,0,E75/MAX($E$10:$E$90))</f>
        <v>3.1913144776228354E-59</v>
      </c>
      <c r="L75">
        <f t="shared" si="18"/>
        <v>0</v>
      </c>
      <c r="M75" t="str">
        <f t="shared" ref="M75:M90" si="22">IF(L75=1,VLOOKUP(B75,$H$10:$J$21,3,FALSE),"")</f>
        <v/>
      </c>
      <c r="N75" t="str">
        <f t="shared" ref="N75:N90" si="23">IF(L75=1,(M75-F75)^2,"")</f>
        <v/>
      </c>
      <c r="O75" t="str">
        <f t="shared" si="19"/>
        <v/>
      </c>
    </row>
    <row r="76" spans="2:15" x14ac:dyDescent="0.3">
      <c r="B76">
        <f t="shared" ref="B76:B90" si="24">B75+1</f>
        <v>67</v>
      </c>
      <c r="C76">
        <f t="shared" si="20"/>
        <v>129.75261689298546</v>
      </c>
      <c r="D76">
        <f t="shared" si="16"/>
        <v>6.2253004807936793E-63</v>
      </c>
      <c r="E76">
        <f t="shared" si="17"/>
        <v>8.0774902832814046E-61</v>
      </c>
      <c r="F76">
        <f t="shared" si="21"/>
        <v>4.1716119980135242E-62</v>
      </c>
      <c r="L76">
        <f t="shared" si="18"/>
        <v>0</v>
      </c>
      <c r="M76" t="str">
        <f t="shared" si="22"/>
        <v/>
      </c>
      <c r="N76" t="str">
        <f t="shared" si="23"/>
        <v/>
      </c>
      <c r="O76" t="str">
        <f t="shared" si="19"/>
        <v/>
      </c>
    </row>
    <row r="77" spans="2:15" x14ac:dyDescent="0.3">
      <c r="B77">
        <f t="shared" si="24"/>
        <v>68</v>
      </c>
      <c r="C77">
        <f t="shared" si="20"/>
        <v>132.33806643068655</v>
      </c>
      <c r="D77">
        <f t="shared" si="16"/>
        <v>7.4896939075183574E-66</v>
      </c>
      <c r="E77">
        <f t="shared" si="17"/>
        <v>9.9117160987867271E-64</v>
      </c>
      <c r="F77">
        <f t="shared" si="21"/>
        <v>5.1188961358682493E-65</v>
      </c>
      <c r="L77">
        <f t="shared" si="18"/>
        <v>0</v>
      </c>
      <c r="M77" t="str">
        <f t="shared" si="22"/>
        <v/>
      </c>
      <c r="N77" t="str">
        <f t="shared" si="23"/>
        <v/>
      </c>
      <c r="O77" t="str">
        <f t="shared" si="19"/>
        <v/>
      </c>
    </row>
    <row r="78" spans="2:15" x14ac:dyDescent="0.3">
      <c r="B78">
        <f t="shared" si="24"/>
        <v>69</v>
      </c>
      <c r="C78">
        <f t="shared" si="20"/>
        <v>134.92351596838762</v>
      </c>
      <c r="D78">
        <f t="shared" si="16"/>
        <v>8.5233839790960201E-69</v>
      </c>
      <c r="E78">
        <f t="shared" si="17"/>
        <v>1.150004934408261E-66</v>
      </c>
      <c r="F78">
        <f t="shared" si="21"/>
        <v>5.9391892950731832E-68</v>
      </c>
      <c r="L78">
        <f t="shared" si="18"/>
        <v>0</v>
      </c>
      <c r="M78" t="str">
        <f t="shared" si="22"/>
        <v/>
      </c>
      <c r="N78" t="str">
        <f t="shared" si="23"/>
        <v/>
      </c>
      <c r="O78" t="str">
        <f t="shared" si="19"/>
        <v/>
      </c>
    </row>
    <row r="79" spans="2:15" x14ac:dyDescent="0.3">
      <c r="B79">
        <f t="shared" si="24"/>
        <v>70</v>
      </c>
      <c r="C79">
        <f t="shared" si="20"/>
        <v>137.50896550608871</v>
      </c>
      <c r="D79">
        <f t="shared" si="16"/>
        <v>9.2387624487630949E-72</v>
      </c>
      <c r="E79">
        <f t="shared" si="17"/>
        <v>1.2704126668859121E-69</v>
      </c>
      <c r="F79">
        <f t="shared" si="21"/>
        <v>6.5610338579778379E-71</v>
      </c>
      <c r="L79">
        <f t="shared" si="18"/>
        <v>0</v>
      </c>
      <c r="M79" t="str">
        <f t="shared" si="22"/>
        <v/>
      </c>
      <c r="N79" t="str">
        <f t="shared" si="23"/>
        <v/>
      </c>
      <c r="O79" t="str">
        <f t="shared" si="19"/>
        <v/>
      </c>
    </row>
    <row r="80" spans="2:15" x14ac:dyDescent="0.3">
      <c r="B80">
        <f t="shared" si="24"/>
        <v>71</v>
      </c>
      <c r="C80">
        <f t="shared" si="20"/>
        <v>140.09441504378978</v>
      </c>
      <c r="D80">
        <f t="shared" si="16"/>
        <v>9.6018156562976747E-75</v>
      </c>
      <c r="E80">
        <f t="shared" si="17"/>
        <v>1.3451607477273251E-72</v>
      </c>
      <c r="F80">
        <f t="shared" si="21"/>
        <v>6.9470695942410197E-74</v>
      </c>
      <c r="L80">
        <f t="shared" si="18"/>
        <v>0</v>
      </c>
      <c r="M80" t="str">
        <f t="shared" si="22"/>
        <v/>
      </c>
      <c r="N80" t="str">
        <f t="shared" si="23"/>
        <v/>
      </c>
      <c r="O80" t="str">
        <f t="shared" si="19"/>
        <v/>
      </c>
    </row>
    <row r="81" spans="2:15" x14ac:dyDescent="0.3">
      <c r="B81">
        <f t="shared" si="24"/>
        <v>72</v>
      </c>
      <c r="C81">
        <f t="shared" si="20"/>
        <v>142.67986458149088</v>
      </c>
      <c r="D81">
        <f t="shared" si="16"/>
        <v>9.6291715653181018E-78</v>
      </c>
      <c r="E81">
        <f t="shared" si="17"/>
        <v>1.3738888949715293E-75</v>
      </c>
      <c r="F81">
        <f t="shared" si="21"/>
        <v>7.0954358311805675E-77</v>
      </c>
      <c r="L81">
        <f t="shared" si="18"/>
        <v>0</v>
      </c>
      <c r="M81" t="str">
        <f t="shared" si="22"/>
        <v/>
      </c>
      <c r="N81" t="str">
        <f t="shared" si="23"/>
        <v/>
      </c>
      <c r="O81" t="str">
        <f t="shared" si="19"/>
        <v/>
      </c>
    </row>
    <row r="82" spans="2:15" x14ac:dyDescent="0.3">
      <c r="B82">
        <f t="shared" si="24"/>
        <v>73</v>
      </c>
      <c r="C82">
        <f t="shared" si="20"/>
        <v>145.26531411919194</v>
      </c>
      <c r="D82">
        <f t="shared" si="16"/>
        <v>9.3746097167856018E-81</v>
      </c>
      <c r="E82">
        <f t="shared" si="17"/>
        <v>1.3618056252536896E-78</v>
      </c>
      <c r="F82">
        <f t="shared" si="21"/>
        <v>7.0330319022838588E-80</v>
      </c>
      <c r="L82">
        <f t="shared" si="18"/>
        <v>0</v>
      </c>
      <c r="M82" t="str">
        <f t="shared" si="22"/>
        <v/>
      </c>
      <c r="N82" t="str">
        <f t="shared" si="23"/>
        <v/>
      </c>
      <c r="O82" t="str">
        <f t="shared" si="19"/>
        <v/>
      </c>
    </row>
    <row r="83" spans="2:15" x14ac:dyDescent="0.3">
      <c r="B83">
        <f t="shared" si="24"/>
        <v>74</v>
      </c>
      <c r="C83">
        <f t="shared" si="20"/>
        <v>147.85076365689304</v>
      </c>
      <c r="D83">
        <f t="shared" si="16"/>
        <v>8.9115760722701535E-84</v>
      </c>
      <c r="E83">
        <f t="shared" si="17"/>
        <v>1.3175833276716376E-81</v>
      </c>
      <c r="F83">
        <f t="shared" si="21"/>
        <v>6.8046462766708627E-83</v>
      </c>
      <c r="L83">
        <f t="shared" si="18"/>
        <v>0</v>
      </c>
      <c r="M83" t="str">
        <f t="shared" si="22"/>
        <v/>
      </c>
      <c r="N83" t="str">
        <f t="shared" si="23"/>
        <v/>
      </c>
      <c r="O83" t="str">
        <f t="shared" si="19"/>
        <v/>
      </c>
    </row>
    <row r="84" spans="2:15" x14ac:dyDescent="0.3">
      <c r="B84">
        <f t="shared" si="24"/>
        <v>75</v>
      </c>
      <c r="C84">
        <f t="shared" si="20"/>
        <v>150.4362131945941</v>
      </c>
      <c r="D84">
        <f t="shared" si="16"/>
        <v>8.3172266965932541E-87</v>
      </c>
      <c r="E84">
        <f t="shared" si="17"/>
        <v>1.2512120885164725E-84</v>
      </c>
      <c r="F84">
        <f t="shared" si="21"/>
        <v>6.4618726577959741E-86</v>
      </c>
      <c r="L84">
        <f t="shared" si="18"/>
        <v>0</v>
      </c>
      <c r="M84" t="str">
        <f t="shared" si="22"/>
        <v/>
      </c>
      <c r="N84" t="str">
        <f t="shared" si="23"/>
        <v/>
      </c>
      <c r="O84" t="str">
        <f t="shared" si="19"/>
        <v/>
      </c>
    </row>
    <row r="85" spans="2:15" x14ac:dyDescent="0.3">
      <c r="B85">
        <f t="shared" si="24"/>
        <v>76</v>
      </c>
      <c r="C85">
        <f t="shared" si="20"/>
        <v>153.0216627322952</v>
      </c>
      <c r="D85">
        <f t="shared" si="16"/>
        <v>7.6610867098822601E-90</v>
      </c>
      <c r="E85">
        <f t="shared" si="17"/>
        <v>1.1723122266824723E-87</v>
      </c>
      <c r="F85">
        <f t="shared" si="21"/>
        <v>6.0543950889902646E-89</v>
      </c>
      <c r="L85">
        <f t="shared" si="18"/>
        <v>0</v>
      </c>
      <c r="M85" t="str">
        <f t="shared" si="22"/>
        <v/>
      </c>
      <c r="N85" t="str">
        <f t="shared" si="23"/>
        <v/>
      </c>
      <c r="O85" t="str">
        <f t="shared" si="19"/>
        <v/>
      </c>
    </row>
    <row r="86" spans="2:15" x14ac:dyDescent="0.3">
      <c r="B86">
        <f t="shared" si="24"/>
        <v>77</v>
      </c>
      <c r="C86">
        <f t="shared" si="20"/>
        <v>155.60711226999626</v>
      </c>
      <c r="D86">
        <f t="shared" si="16"/>
        <v>6.9990194971869069E-93</v>
      </c>
      <c r="E86">
        <f t="shared" si="17"/>
        <v>1.0890972126786557E-90</v>
      </c>
      <c r="F86">
        <f t="shared" si="21"/>
        <v>5.6246319587867063E-92</v>
      </c>
      <c r="L86">
        <f t="shared" si="18"/>
        <v>0</v>
      </c>
      <c r="M86" t="str">
        <f t="shared" si="22"/>
        <v/>
      </c>
      <c r="N86" t="str">
        <f t="shared" si="23"/>
        <v/>
      </c>
      <c r="O86" t="str">
        <f t="shared" si="19"/>
        <v/>
      </c>
    </row>
    <row r="87" spans="2:15" x14ac:dyDescent="0.3">
      <c r="B87">
        <f t="shared" si="24"/>
        <v>78</v>
      </c>
      <c r="C87">
        <f t="shared" si="20"/>
        <v>158.19256180769736</v>
      </c>
      <c r="D87">
        <f t="shared" si="16"/>
        <v>6.3716385637934166E-96</v>
      </c>
      <c r="E87">
        <f t="shared" si="17"/>
        <v>1.0079458273191981E-93</v>
      </c>
      <c r="F87">
        <f t="shared" si="21"/>
        <v>5.2055264186393926E-95</v>
      </c>
      <c r="L87">
        <f t="shared" si="18"/>
        <v>0</v>
      </c>
      <c r="M87" t="str">
        <f t="shared" si="22"/>
        <v/>
      </c>
      <c r="N87" t="str">
        <f t="shared" si="23"/>
        <v/>
      </c>
      <c r="O87" t="str">
        <f t="shared" si="19"/>
        <v/>
      </c>
    </row>
    <row r="88" spans="2:15" x14ac:dyDescent="0.3">
      <c r="B88">
        <f t="shared" si="24"/>
        <v>79</v>
      </c>
      <c r="C88">
        <f t="shared" si="20"/>
        <v>160.77801134539843</v>
      </c>
      <c r="D88">
        <f t="shared" si="16"/>
        <v>5.8056706525435051E-99</v>
      </c>
      <c r="E88">
        <f t="shared" si="17"/>
        <v>9.3342418204228632E-97</v>
      </c>
      <c r="F88">
        <f t="shared" si="21"/>
        <v>4.8206601066460314E-98</v>
      </c>
      <c r="L88">
        <f t="shared" si="18"/>
        <v>0</v>
      </c>
      <c r="M88" t="str">
        <f t="shared" si="22"/>
        <v/>
      </c>
      <c r="N88" t="str">
        <f t="shared" si="23"/>
        <v/>
      </c>
      <c r="O88" t="str">
        <f t="shared" si="19"/>
        <v/>
      </c>
    </row>
    <row r="89" spans="2:15" x14ac:dyDescent="0.3">
      <c r="B89">
        <f t="shared" si="24"/>
        <v>80</v>
      </c>
      <c r="C89">
        <f t="shared" si="20"/>
        <v>163.36346088309952</v>
      </c>
      <c r="D89">
        <f t="shared" si="16"/>
        <v>5.3168292014705594E-102</v>
      </c>
      <c r="E89">
        <f t="shared" si="17"/>
        <v>8.6857561927655703E-100</v>
      </c>
      <c r="F89">
        <f t="shared" si="21"/>
        <v>4.485750335169894E-101</v>
      </c>
      <c r="L89">
        <f t="shared" si="18"/>
        <v>0</v>
      </c>
      <c r="M89" t="str">
        <f t="shared" si="22"/>
        <v/>
      </c>
      <c r="N89" t="str">
        <f t="shared" si="23"/>
        <v/>
      </c>
      <c r="O89" t="str">
        <f t="shared" si="19"/>
        <v/>
      </c>
    </row>
    <row r="90" spans="2:15" x14ac:dyDescent="0.3">
      <c r="B90">
        <f t="shared" si="24"/>
        <v>81</v>
      </c>
      <c r="C90">
        <f t="shared" si="20"/>
        <v>165.94891042080059</v>
      </c>
      <c r="D90">
        <f t="shared" si="16"/>
        <v>4.9131361710114176E-105</v>
      </c>
      <c r="E90">
        <f>D90*C90</f>
        <v>8.1532959432836898E-103</v>
      </c>
      <c r="F90">
        <f t="shared" si="21"/>
        <v>4.2107617573685302E-104</v>
      </c>
      <c r="L90">
        <f t="shared" si="18"/>
        <v>0</v>
      </c>
      <c r="M90" t="str">
        <f t="shared" si="22"/>
        <v/>
      </c>
      <c r="N90" t="str">
        <f t="shared" si="23"/>
        <v/>
      </c>
      <c r="O90" t="str">
        <f t="shared" si="19"/>
        <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3">
              <controlPr defaultSize="0" print="0" autoFill="0" autoPict="0" macro="[0]!_xludf.run">
                <anchor moveWithCells="1" sizeWithCells="1">
                  <from>
                    <xdr:col>15</xdr:col>
                    <xdr:colOff>228600</xdr:colOff>
                    <xdr:row>11</xdr:row>
                    <xdr:rowOff>22860</xdr:rowOff>
                  </from>
                  <to>
                    <xdr:col>17</xdr:col>
                    <xdr:colOff>342900</xdr:colOff>
                    <xdr:row>15</xdr:row>
                    <xdr:rowOff>160020</xdr:rowOff>
                  </to>
                </anchor>
              </controlPr>
            </control>
          </mc:Choice>
        </mc:AlternateContent>
        <mc:AlternateContent xmlns:mc="http://schemas.openxmlformats.org/markup-compatibility/2006">
          <mc:Choice Requires="x14">
            <control shapeId="8211" r:id="rId5" name="Button 19">
              <controlPr defaultSize="0" print="0" autoFill="0" autoPict="0" macro="[0]!Rerun">
                <anchor moveWithCells="1" sizeWithCells="1">
                  <from>
                    <xdr:col>15</xdr:col>
                    <xdr:colOff>190500</xdr:colOff>
                    <xdr:row>16</xdr:row>
                    <xdr:rowOff>60960</xdr:rowOff>
                  </from>
                  <to>
                    <xdr:col>17</xdr:col>
                    <xdr:colOff>335280</xdr:colOff>
                    <xdr:row>20</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031ABB-DD2F-4429-BCC6-DC7B08D82BF4}">
  <dimension ref="A1:A497"/>
  <sheetViews>
    <sheetView topLeftCell="A423" workbookViewId="0">
      <selection activeCell="G404" sqref="G404"/>
    </sheetView>
  </sheetViews>
  <sheetFormatPr defaultRowHeight="14.4" x14ac:dyDescent="0.3"/>
  <sheetData>
    <row r="1" spans="1:1" x14ac:dyDescent="0.3">
      <c r="A1" s="6"/>
    </row>
    <row r="2" spans="1:1" x14ac:dyDescent="0.3">
      <c r="A2" s="6" t="s">
        <v>2537</v>
      </c>
    </row>
    <row r="3" spans="1:1" x14ac:dyDescent="0.3">
      <c r="A3" s="6" t="s">
        <v>2538</v>
      </c>
    </row>
    <row r="4" spans="1:1" x14ac:dyDescent="0.3">
      <c r="A4" s="6" t="s">
        <v>2539</v>
      </c>
    </row>
    <row r="5" spans="1:1" x14ac:dyDescent="0.3">
      <c r="A5" s="6" t="s">
        <v>2540</v>
      </c>
    </row>
    <row r="6" spans="1:1" x14ac:dyDescent="0.3">
      <c r="A6" s="6" t="s">
        <v>2541</v>
      </c>
    </row>
    <row r="7" spans="1:1" x14ac:dyDescent="0.3">
      <c r="A7" s="6" t="s">
        <v>2542</v>
      </c>
    </row>
    <row r="8" spans="1:1" x14ac:dyDescent="0.3">
      <c r="A8" s="6" t="s">
        <v>2543</v>
      </c>
    </row>
    <row r="9" spans="1:1" x14ac:dyDescent="0.3">
      <c r="A9" s="6" t="s">
        <v>2544</v>
      </c>
    </row>
    <row r="10" spans="1:1" x14ac:dyDescent="0.3">
      <c r="A10" s="6" t="s">
        <v>2545</v>
      </c>
    </row>
    <row r="11" spans="1:1" x14ac:dyDescent="0.3">
      <c r="A11" s="6" t="s">
        <v>2546</v>
      </c>
    </row>
    <row r="12" spans="1:1" x14ac:dyDescent="0.3">
      <c r="A12" s="6" t="s">
        <v>2547</v>
      </c>
    </row>
    <row r="13" spans="1:1" x14ac:dyDescent="0.3">
      <c r="A13" s="6" t="s">
        <v>2548</v>
      </c>
    </row>
    <row r="14" spans="1:1" x14ac:dyDescent="0.3">
      <c r="A14" s="6" t="s">
        <v>2549</v>
      </c>
    </row>
    <row r="15" spans="1:1" x14ac:dyDescent="0.3">
      <c r="A15" s="6" t="s">
        <v>2550</v>
      </c>
    </row>
    <row r="16" spans="1:1" x14ac:dyDescent="0.3">
      <c r="A16" s="6" t="s">
        <v>2551</v>
      </c>
    </row>
    <row r="17" spans="1:1" x14ac:dyDescent="0.3">
      <c r="A17" s="6" t="s">
        <v>2552</v>
      </c>
    </row>
    <row r="18" spans="1:1" x14ac:dyDescent="0.3">
      <c r="A18" s="6" t="s">
        <v>2553</v>
      </c>
    </row>
    <row r="19" spans="1:1" x14ac:dyDescent="0.3">
      <c r="A19" s="6" t="s">
        <v>2554</v>
      </c>
    </row>
    <row r="20" spans="1:1" x14ac:dyDescent="0.3">
      <c r="A20" s="6" t="s">
        <v>2555</v>
      </c>
    </row>
    <row r="21" spans="1:1" x14ac:dyDescent="0.3">
      <c r="A21" s="6" t="s">
        <v>2556</v>
      </c>
    </row>
    <row r="22" spans="1:1" x14ac:dyDescent="0.3">
      <c r="A22" s="6" t="s">
        <v>2557</v>
      </c>
    </row>
    <row r="23" spans="1:1" x14ac:dyDescent="0.3">
      <c r="A23" s="6" t="s">
        <v>2558</v>
      </c>
    </row>
    <row r="24" spans="1:1" x14ac:dyDescent="0.3">
      <c r="A24" s="6" t="s">
        <v>2559</v>
      </c>
    </row>
    <row r="25" spans="1:1" x14ac:dyDescent="0.3">
      <c r="A25" s="6" t="s">
        <v>2560</v>
      </c>
    </row>
    <row r="26" spans="1:1" x14ac:dyDescent="0.3">
      <c r="A26" s="6" t="s">
        <v>2561</v>
      </c>
    </row>
    <row r="27" spans="1:1" x14ac:dyDescent="0.3">
      <c r="A27" s="6" t="s">
        <v>2562</v>
      </c>
    </row>
    <row r="28" spans="1:1" x14ac:dyDescent="0.3">
      <c r="A28" s="6" t="s">
        <v>2563</v>
      </c>
    </row>
    <row r="29" spans="1:1" x14ac:dyDescent="0.3">
      <c r="A29" s="6" t="s">
        <v>2564</v>
      </c>
    </row>
    <row r="30" spans="1:1" x14ac:dyDescent="0.3">
      <c r="A30" s="6" t="s">
        <v>2565</v>
      </c>
    </row>
    <row r="31" spans="1:1" x14ac:dyDescent="0.3">
      <c r="A31" s="6" t="s">
        <v>2566</v>
      </c>
    </row>
    <row r="32" spans="1:1" x14ac:dyDescent="0.3">
      <c r="A32" s="6" t="s">
        <v>2567</v>
      </c>
    </row>
    <row r="33" spans="1:1" x14ac:dyDescent="0.3">
      <c r="A33" s="6" t="s">
        <v>2568</v>
      </c>
    </row>
    <row r="34" spans="1:1" x14ac:dyDescent="0.3">
      <c r="A34" s="6" t="s">
        <v>2569</v>
      </c>
    </row>
    <row r="35" spans="1:1" x14ac:dyDescent="0.3">
      <c r="A35" s="6" t="s">
        <v>2570</v>
      </c>
    </row>
    <row r="36" spans="1:1" x14ac:dyDescent="0.3">
      <c r="A36" s="6" t="s">
        <v>2571</v>
      </c>
    </row>
    <row r="37" spans="1:1" x14ac:dyDescent="0.3">
      <c r="A37" s="6" t="s">
        <v>2572</v>
      </c>
    </row>
    <row r="38" spans="1:1" x14ac:dyDescent="0.3">
      <c r="A38" s="6" t="s">
        <v>2573</v>
      </c>
    </row>
    <row r="39" spans="1:1" x14ac:dyDescent="0.3">
      <c r="A39" s="6" t="s">
        <v>2574</v>
      </c>
    </row>
    <row r="40" spans="1:1" x14ac:dyDescent="0.3">
      <c r="A40" s="6" t="s">
        <v>2575</v>
      </c>
    </row>
    <row r="41" spans="1:1" x14ac:dyDescent="0.3">
      <c r="A41" s="6" t="s">
        <v>2576</v>
      </c>
    </row>
    <row r="42" spans="1:1" x14ac:dyDescent="0.3">
      <c r="A42" s="6" t="s">
        <v>2577</v>
      </c>
    </row>
    <row r="43" spans="1:1" x14ac:dyDescent="0.3">
      <c r="A43" s="6" t="s">
        <v>2578</v>
      </c>
    </row>
    <row r="44" spans="1:1" x14ac:dyDescent="0.3">
      <c r="A44" s="6" t="s">
        <v>2579</v>
      </c>
    </row>
    <row r="45" spans="1:1" x14ac:dyDescent="0.3">
      <c r="A45" s="6" t="s">
        <v>2580</v>
      </c>
    </row>
    <row r="46" spans="1:1" x14ac:dyDescent="0.3">
      <c r="A46" s="6" t="s">
        <v>2581</v>
      </c>
    </row>
    <row r="47" spans="1:1" x14ac:dyDescent="0.3">
      <c r="A47" s="6" t="s">
        <v>2582</v>
      </c>
    </row>
    <row r="48" spans="1:1" x14ac:dyDescent="0.3">
      <c r="A48" s="6" t="s">
        <v>2583</v>
      </c>
    </row>
    <row r="49" spans="1:1" x14ac:dyDescent="0.3">
      <c r="A49" s="6" t="s">
        <v>2584</v>
      </c>
    </row>
    <row r="50" spans="1:1" x14ac:dyDescent="0.3">
      <c r="A50" s="6" t="s">
        <v>2585</v>
      </c>
    </row>
    <row r="51" spans="1:1" x14ac:dyDescent="0.3">
      <c r="A51" s="6" t="s">
        <v>2586</v>
      </c>
    </row>
    <row r="52" spans="1:1" x14ac:dyDescent="0.3">
      <c r="A52" s="6" t="s">
        <v>2587</v>
      </c>
    </row>
    <row r="53" spans="1:1" x14ac:dyDescent="0.3">
      <c r="A53" s="6" t="s">
        <v>2588</v>
      </c>
    </row>
    <row r="54" spans="1:1" x14ac:dyDescent="0.3">
      <c r="A54" s="6" t="s">
        <v>2589</v>
      </c>
    </row>
    <row r="55" spans="1:1" x14ac:dyDescent="0.3">
      <c r="A55" s="6" t="s">
        <v>2590</v>
      </c>
    </row>
    <row r="56" spans="1:1" x14ac:dyDescent="0.3">
      <c r="A56" s="6" t="s">
        <v>2591</v>
      </c>
    </row>
    <row r="57" spans="1:1" x14ac:dyDescent="0.3">
      <c r="A57" s="6" t="s">
        <v>2592</v>
      </c>
    </row>
    <row r="58" spans="1:1" x14ac:dyDescent="0.3">
      <c r="A58" s="6" t="s">
        <v>2593</v>
      </c>
    </row>
    <row r="59" spans="1:1" ht="83.4" x14ac:dyDescent="0.3">
      <c r="A59" s="6" t="s">
        <v>2594</v>
      </c>
    </row>
    <row r="60" spans="1:1" x14ac:dyDescent="0.3">
      <c r="A60" s="6" t="s">
        <v>2595</v>
      </c>
    </row>
    <row r="61" spans="1:1" x14ac:dyDescent="0.3">
      <c r="A61" s="6" t="s">
        <v>2596</v>
      </c>
    </row>
    <row r="62" spans="1:1" x14ac:dyDescent="0.3">
      <c r="A62" s="6" t="s">
        <v>2597</v>
      </c>
    </row>
    <row r="63" spans="1:1" x14ac:dyDescent="0.3">
      <c r="A63" s="6" t="s">
        <v>2598</v>
      </c>
    </row>
    <row r="64" spans="1:1" x14ac:dyDescent="0.3">
      <c r="A64" s="6" t="s">
        <v>2599</v>
      </c>
    </row>
    <row r="65" spans="1:1" x14ac:dyDescent="0.3">
      <c r="A65" s="6" t="s">
        <v>2600</v>
      </c>
    </row>
    <row r="66" spans="1:1" x14ac:dyDescent="0.3">
      <c r="A66" s="6" t="s">
        <v>2601</v>
      </c>
    </row>
    <row r="67" spans="1:1" x14ac:dyDescent="0.3">
      <c r="A67" s="6" t="s">
        <v>2602</v>
      </c>
    </row>
    <row r="68" spans="1:1" x14ac:dyDescent="0.3">
      <c r="A68" s="6" t="s">
        <v>2603</v>
      </c>
    </row>
    <row r="69" spans="1:1" x14ac:dyDescent="0.3">
      <c r="A69" s="6" t="s">
        <v>2604</v>
      </c>
    </row>
    <row r="70" spans="1:1" x14ac:dyDescent="0.3">
      <c r="A70" s="6" t="s">
        <v>2605</v>
      </c>
    </row>
    <row r="71" spans="1:1" x14ac:dyDescent="0.3">
      <c r="A71" s="6" t="s">
        <v>2606</v>
      </c>
    </row>
    <row r="72" spans="1:1" x14ac:dyDescent="0.3">
      <c r="A72" s="6" t="s">
        <v>2607</v>
      </c>
    </row>
    <row r="73" spans="1:1" x14ac:dyDescent="0.3">
      <c r="A73" s="6" t="s">
        <v>2608</v>
      </c>
    </row>
    <row r="74" spans="1:1" x14ac:dyDescent="0.3">
      <c r="A74" s="6" t="s">
        <v>2609</v>
      </c>
    </row>
    <row r="75" spans="1:1" x14ac:dyDescent="0.3">
      <c r="A75" s="6" t="s">
        <v>2610</v>
      </c>
    </row>
    <row r="76" spans="1:1" x14ac:dyDescent="0.3">
      <c r="A76" s="6" t="s">
        <v>2611</v>
      </c>
    </row>
    <row r="77" spans="1:1" x14ac:dyDescent="0.3">
      <c r="A77" s="6" t="s">
        <v>2612</v>
      </c>
    </row>
    <row r="78" spans="1:1" x14ac:dyDescent="0.3">
      <c r="A78" s="6" t="s">
        <v>2613</v>
      </c>
    </row>
    <row r="79" spans="1:1" x14ac:dyDescent="0.3">
      <c r="A79" s="6" t="s">
        <v>2614</v>
      </c>
    </row>
    <row r="80" spans="1:1" x14ac:dyDescent="0.3">
      <c r="A80" s="6" t="s">
        <v>2615</v>
      </c>
    </row>
    <row r="81" spans="1:1" x14ac:dyDescent="0.3">
      <c r="A81" s="6" t="s">
        <v>2616</v>
      </c>
    </row>
    <row r="82" spans="1:1" x14ac:dyDescent="0.3">
      <c r="A82" s="6" t="s">
        <v>2617</v>
      </c>
    </row>
    <row r="83" spans="1:1" x14ac:dyDescent="0.3">
      <c r="A83" s="6" t="s">
        <v>2618</v>
      </c>
    </row>
    <row r="84" spans="1:1" x14ac:dyDescent="0.3">
      <c r="A84" s="6" t="s">
        <v>2619</v>
      </c>
    </row>
    <row r="85" spans="1:1" x14ac:dyDescent="0.3">
      <c r="A85" s="6" t="s">
        <v>2620</v>
      </c>
    </row>
    <row r="86" spans="1:1" x14ac:dyDescent="0.3">
      <c r="A86" s="6" t="s">
        <v>2621</v>
      </c>
    </row>
    <row r="87" spans="1:1" x14ac:dyDescent="0.3">
      <c r="A87" s="6" t="s">
        <v>2622</v>
      </c>
    </row>
    <row r="88" spans="1:1" x14ac:dyDescent="0.3">
      <c r="A88" s="6" t="s">
        <v>2623</v>
      </c>
    </row>
    <row r="89" spans="1:1" x14ac:dyDescent="0.3">
      <c r="A89" s="6" t="s">
        <v>2624</v>
      </c>
    </row>
    <row r="90" spans="1:1" x14ac:dyDescent="0.3">
      <c r="A90" s="6" t="s">
        <v>2625</v>
      </c>
    </row>
    <row r="91" spans="1:1" x14ac:dyDescent="0.3">
      <c r="A91" s="6" t="s">
        <v>2626</v>
      </c>
    </row>
    <row r="92" spans="1:1" x14ac:dyDescent="0.3">
      <c r="A92" s="6" t="s">
        <v>2627</v>
      </c>
    </row>
    <row r="93" spans="1:1" x14ac:dyDescent="0.3">
      <c r="A93" s="6" t="s">
        <v>2628</v>
      </c>
    </row>
    <row r="94" spans="1:1" x14ac:dyDescent="0.3">
      <c r="A94" s="6" t="s">
        <v>2629</v>
      </c>
    </row>
    <row r="95" spans="1:1" x14ac:dyDescent="0.3">
      <c r="A95" s="6" t="s">
        <v>2630</v>
      </c>
    </row>
    <row r="96" spans="1:1" x14ac:dyDescent="0.3">
      <c r="A96" s="6" t="s">
        <v>2631</v>
      </c>
    </row>
    <row r="97" spans="1:1" x14ac:dyDescent="0.3">
      <c r="A97" s="6" t="s">
        <v>2632</v>
      </c>
    </row>
    <row r="98" spans="1:1" x14ac:dyDescent="0.3">
      <c r="A98" s="6" t="s">
        <v>2633</v>
      </c>
    </row>
    <row r="99" spans="1:1" x14ac:dyDescent="0.3">
      <c r="A99" s="6" t="s">
        <v>2634</v>
      </c>
    </row>
    <row r="100" spans="1:1" x14ac:dyDescent="0.3">
      <c r="A100" s="6" t="s">
        <v>2635</v>
      </c>
    </row>
    <row r="101" spans="1:1" x14ac:dyDescent="0.3">
      <c r="A101" s="6" t="s">
        <v>2636</v>
      </c>
    </row>
    <row r="102" spans="1:1" x14ac:dyDescent="0.3">
      <c r="A102" s="6" t="s">
        <v>2637</v>
      </c>
    </row>
    <row r="103" spans="1:1" x14ac:dyDescent="0.3">
      <c r="A103" s="6" t="s">
        <v>2638</v>
      </c>
    </row>
    <row r="104" spans="1:1" x14ac:dyDescent="0.3">
      <c r="A104" s="6" t="s">
        <v>2639</v>
      </c>
    </row>
    <row r="105" spans="1:1" x14ac:dyDescent="0.3">
      <c r="A105" s="6" t="s">
        <v>2640</v>
      </c>
    </row>
    <row r="106" spans="1:1" x14ac:dyDescent="0.3">
      <c r="A106" s="6" t="s">
        <v>2641</v>
      </c>
    </row>
    <row r="107" spans="1:1" x14ac:dyDescent="0.3">
      <c r="A107" s="6" t="s">
        <v>2642</v>
      </c>
    </row>
    <row r="108" spans="1:1" x14ac:dyDescent="0.3">
      <c r="A108" s="6" t="s">
        <v>2643</v>
      </c>
    </row>
    <row r="109" spans="1:1" x14ac:dyDescent="0.3">
      <c r="A109" s="6" t="s">
        <v>2644</v>
      </c>
    </row>
    <row r="110" spans="1:1" x14ac:dyDescent="0.3">
      <c r="A110" s="6" t="s">
        <v>2645</v>
      </c>
    </row>
    <row r="111" spans="1:1" x14ac:dyDescent="0.3">
      <c r="A111" s="6" t="s">
        <v>2646</v>
      </c>
    </row>
    <row r="112" spans="1:1" x14ac:dyDescent="0.3">
      <c r="A112" s="6" t="s">
        <v>2647</v>
      </c>
    </row>
    <row r="113" spans="1:1" x14ac:dyDescent="0.3">
      <c r="A113" s="6" t="s">
        <v>2648</v>
      </c>
    </row>
    <row r="114" spans="1:1" x14ac:dyDescent="0.3">
      <c r="A114" s="6" t="s">
        <v>2649</v>
      </c>
    </row>
    <row r="115" spans="1:1" x14ac:dyDescent="0.3">
      <c r="A115" s="6" t="s">
        <v>2650</v>
      </c>
    </row>
    <row r="116" spans="1:1" x14ac:dyDescent="0.3">
      <c r="A116" s="6" t="s">
        <v>2651</v>
      </c>
    </row>
    <row r="117" spans="1:1" x14ac:dyDescent="0.3">
      <c r="A117" s="6" t="s">
        <v>2652</v>
      </c>
    </row>
    <row r="118" spans="1:1" x14ac:dyDescent="0.3">
      <c r="A118" s="6" t="s">
        <v>2653</v>
      </c>
    </row>
    <row r="119" spans="1:1" x14ac:dyDescent="0.3">
      <c r="A119" s="6" t="s">
        <v>2654</v>
      </c>
    </row>
    <row r="120" spans="1:1" x14ac:dyDescent="0.3">
      <c r="A120" s="6" t="s">
        <v>2655</v>
      </c>
    </row>
    <row r="121" spans="1:1" x14ac:dyDescent="0.3">
      <c r="A121" s="6" t="s">
        <v>2656</v>
      </c>
    </row>
    <row r="122" spans="1:1" x14ac:dyDescent="0.3">
      <c r="A122" s="6" t="s">
        <v>2657</v>
      </c>
    </row>
    <row r="123" spans="1:1" x14ac:dyDescent="0.3">
      <c r="A123" s="6" t="s">
        <v>2658</v>
      </c>
    </row>
    <row r="124" spans="1:1" x14ac:dyDescent="0.3">
      <c r="A124" s="6" t="s">
        <v>2659</v>
      </c>
    </row>
    <row r="125" spans="1:1" x14ac:dyDescent="0.3">
      <c r="A125" s="6" t="s">
        <v>2660</v>
      </c>
    </row>
    <row r="126" spans="1:1" x14ac:dyDescent="0.3">
      <c r="A126" s="6" t="s">
        <v>2661</v>
      </c>
    </row>
    <row r="127" spans="1:1" x14ac:dyDescent="0.3">
      <c r="A127" s="6" t="s">
        <v>2662</v>
      </c>
    </row>
    <row r="128" spans="1:1" x14ac:dyDescent="0.3">
      <c r="A128" s="6" t="s">
        <v>2663</v>
      </c>
    </row>
    <row r="129" spans="1:1" x14ac:dyDescent="0.3">
      <c r="A129" s="6" t="s">
        <v>2664</v>
      </c>
    </row>
    <row r="130" spans="1:1" x14ac:dyDescent="0.3">
      <c r="A130" s="6" t="s">
        <v>2665</v>
      </c>
    </row>
    <row r="131" spans="1:1" x14ac:dyDescent="0.3">
      <c r="A131" s="6" t="s">
        <v>2666</v>
      </c>
    </row>
    <row r="132" spans="1:1" x14ac:dyDescent="0.3">
      <c r="A132" s="6" t="s">
        <v>2667</v>
      </c>
    </row>
    <row r="133" spans="1:1" x14ac:dyDescent="0.3">
      <c r="A133" s="6" t="s">
        <v>2668</v>
      </c>
    </row>
    <row r="134" spans="1:1" x14ac:dyDescent="0.3">
      <c r="A134" s="6" t="s">
        <v>2669</v>
      </c>
    </row>
    <row r="135" spans="1:1" x14ac:dyDescent="0.3">
      <c r="A135" s="6" t="s">
        <v>2670</v>
      </c>
    </row>
    <row r="136" spans="1:1" x14ac:dyDescent="0.3">
      <c r="A136" s="6" t="s">
        <v>2671</v>
      </c>
    </row>
    <row r="137" spans="1:1" x14ac:dyDescent="0.3">
      <c r="A137" s="6" t="s">
        <v>2672</v>
      </c>
    </row>
    <row r="138" spans="1:1" x14ac:dyDescent="0.3">
      <c r="A138" s="6" t="s">
        <v>2673</v>
      </c>
    </row>
    <row r="139" spans="1:1" x14ac:dyDescent="0.3">
      <c r="A139" s="6" t="s">
        <v>2674</v>
      </c>
    </row>
    <row r="140" spans="1:1" x14ac:dyDescent="0.3">
      <c r="A140" s="6" t="s">
        <v>2675</v>
      </c>
    </row>
    <row r="141" spans="1:1" x14ac:dyDescent="0.3">
      <c r="A141" s="6" t="s">
        <v>2676</v>
      </c>
    </row>
    <row r="142" spans="1:1" x14ac:dyDescent="0.3">
      <c r="A142" s="6" t="s">
        <v>2677</v>
      </c>
    </row>
    <row r="143" spans="1:1" x14ac:dyDescent="0.3">
      <c r="A143" s="6" t="s">
        <v>2678</v>
      </c>
    </row>
    <row r="144" spans="1:1" x14ac:dyDescent="0.3">
      <c r="A144" s="6" t="s">
        <v>2679</v>
      </c>
    </row>
    <row r="145" spans="1:1" x14ac:dyDescent="0.3">
      <c r="A145" s="6" t="s">
        <v>2680</v>
      </c>
    </row>
    <row r="146" spans="1:1" x14ac:dyDescent="0.3">
      <c r="A146" s="6" t="s">
        <v>2681</v>
      </c>
    </row>
    <row r="147" spans="1:1" x14ac:dyDescent="0.3">
      <c r="A147" s="6" t="s">
        <v>2682</v>
      </c>
    </row>
    <row r="148" spans="1:1" x14ac:dyDescent="0.3">
      <c r="A148" s="6" t="s">
        <v>2683</v>
      </c>
    </row>
    <row r="149" spans="1:1" x14ac:dyDescent="0.3">
      <c r="A149" s="6" t="s">
        <v>2684</v>
      </c>
    </row>
    <row r="150" spans="1:1" x14ac:dyDescent="0.3">
      <c r="A150" s="6" t="s">
        <v>2685</v>
      </c>
    </row>
    <row r="151" spans="1:1" x14ac:dyDescent="0.3">
      <c r="A151" s="6" t="s">
        <v>2686</v>
      </c>
    </row>
    <row r="152" spans="1:1" x14ac:dyDescent="0.3">
      <c r="A152" s="6" t="s">
        <v>2687</v>
      </c>
    </row>
    <row r="153" spans="1:1" x14ac:dyDescent="0.3">
      <c r="A153" s="6" t="s">
        <v>2688</v>
      </c>
    </row>
    <row r="154" spans="1:1" x14ac:dyDescent="0.3">
      <c r="A154" s="6" t="s">
        <v>2689</v>
      </c>
    </row>
    <row r="155" spans="1:1" x14ac:dyDescent="0.3">
      <c r="A155" s="6" t="s">
        <v>2690</v>
      </c>
    </row>
    <row r="156" spans="1:1" x14ac:dyDescent="0.3">
      <c r="A156" s="6" t="s">
        <v>2691</v>
      </c>
    </row>
    <row r="157" spans="1:1" x14ac:dyDescent="0.3">
      <c r="A157" s="6" t="s">
        <v>2692</v>
      </c>
    </row>
    <row r="158" spans="1:1" x14ac:dyDescent="0.3">
      <c r="A158" s="6" t="s">
        <v>2693</v>
      </c>
    </row>
    <row r="159" spans="1:1" x14ac:dyDescent="0.3">
      <c r="A159" s="6" t="s">
        <v>2694</v>
      </c>
    </row>
    <row r="160" spans="1:1" x14ac:dyDescent="0.3">
      <c r="A160" s="6" t="s">
        <v>2695</v>
      </c>
    </row>
    <row r="161" spans="1:1" x14ac:dyDescent="0.3">
      <c r="A161" s="6" t="s">
        <v>2696</v>
      </c>
    </row>
    <row r="162" spans="1:1" x14ac:dyDescent="0.3">
      <c r="A162" s="6" t="s">
        <v>2697</v>
      </c>
    </row>
    <row r="163" spans="1:1" x14ac:dyDescent="0.3">
      <c r="A163" s="6" t="s">
        <v>2698</v>
      </c>
    </row>
    <row r="164" spans="1:1" x14ac:dyDescent="0.3">
      <c r="A164" s="6" t="s">
        <v>2699</v>
      </c>
    </row>
    <row r="165" spans="1:1" x14ac:dyDescent="0.3">
      <c r="A165" s="6" t="s">
        <v>2700</v>
      </c>
    </row>
    <row r="166" spans="1:1" x14ac:dyDescent="0.3">
      <c r="A166" s="6" t="s">
        <v>2701</v>
      </c>
    </row>
    <row r="167" spans="1:1" x14ac:dyDescent="0.3">
      <c r="A167" s="6" t="s">
        <v>2702</v>
      </c>
    </row>
    <row r="168" spans="1:1" x14ac:dyDescent="0.3">
      <c r="A168" s="6" t="s">
        <v>2703</v>
      </c>
    </row>
    <row r="169" spans="1:1" x14ac:dyDescent="0.3">
      <c r="A169" s="6" t="s">
        <v>2704</v>
      </c>
    </row>
    <row r="170" spans="1:1" x14ac:dyDescent="0.3">
      <c r="A170" s="6" t="s">
        <v>2705</v>
      </c>
    </row>
    <row r="171" spans="1:1" x14ac:dyDescent="0.3">
      <c r="A171" s="6" t="s">
        <v>2706</v>
      </c>
    </row>
    <row r="172" spans="1:1" x14ac:dyDescent="0.3">
      <c r="A172" s="6" t="s">
        <v>2707</v>
      </c>
    </row>
    <row r="173" spans="1:1" x14ac:dyDescent="0.3">
      <c r="A173" s="6" t="s">
        <v>2708</v>
      </c>
    </row>
    <row r="174" spans="1:1" x14ac:dyDescent="0.3">
      <c r="A174" s="6" t="s">
        <v>2709</v>
      </c>
    </row>
    <row r="175" spans="1:1" x14ac:dyDescent="0.3">
      <c r="A175" s="6" t="s">
        <v>2710</v>
      </c>
    </row>
    <row r="176" spans="1:1" x14ac:dyDescent="0.3">
      <c r="A176" s="6" t="s">
        <v>2711</v>
      </c>
    </row>
    <row r="177" spans="1:1" x14ac:dyDescent="0.3">
      <c r="A177" s="6" t="s">
        <v>2712</v>
      </c>
    </row>
    <row r="178" spans="1:1" x14ac:dyDescent="0.3">
      <c r="A178" s="6" t="s">
        <v>2713</v>
      </c>
    </row>
    <row r="179" spans="1:1" x14ac:dyDescent="0.3">
      <c r="A179" s="6" t="s">
        <v>2714</v>
      </c>
    </row>
    <row r="180" spans="1:1" x14ac:dyDescent="0.3">
      <c r="A180" s="6" t="s">
        <v>2715</v>
      </c>
    </row>
    <row r="181" spans="1:1" x14ac:dyDescent="0.3">
      <c r="A181" s="6" t="s">
        <v>2716</v>
      </c>
    </row>
    <row r="182" spans="1:1" x14ac:dyDescent="0.3">
      <c r="A182" s="6" t="s">
        <v>2717</v>
      </c>
    </row>
    <row r="183" spans="1:1" x14ac:dyDescent="0.3">
      <c r="A183" s="6" t="s">
        <v>2718</v>
      </c>
    </row>
    <row r="184" spans="1:1" x14ac:dyDescent="0.3">
      <c r="A184" s="6" t="s">
        <v>2719</v>
      </c>
    </row>
    <row r="185" spans="1:1" x14ac:dyDescent="0.3">
      <c r="A185" s="6" t="s">
        <v>2720</v>
      </c>
    </row>
    <row r="186" spans="1:1" x14ac:dyDescent="0.3">
      <c r="A186" s="6" t="s">
        <v>2721</v>
      </c>
    </row>
    <row r="187" spans="1:1" x14ac:dyDescent="0.3">
      <c r="A187" s="6" t="s">
        <v>2722</v>
      </c>
    </row>
    <row r="188" spans="1:1" x14ac:dyDescent="0.3">
      <c r="A188" s="6" t="s">
        <v>2723</v>
      </c>
    </row>
    <row r="189" spans="1:1" x14ac:dyDescent="0.3">
      <c r="A189" s="6" t="s">
        <v>2724</v>
      </c>
    </row>
    <row r="190" spans="1:1" x14ac:dyDescent="0.3">
      <c r="A190" s="6" t="s">
        <v>2725</v>
      </c>
    </row>
    <row r="191" spans="1:1" x14ac:dyDescent="0.3">
      <c r="A191" s="6" t="s">
        <v>2726</v>
      </c>
    </row>
    <row r="192" spans="1:1" x14ac:dyDescent="0.3">
      <c r="A192" s="6" t="s">
        <v>2727</v>
      </c>
    </row>
    <row r="193" spans="1:1" x14ac:dyDescent="0.3">
      <c r="A193" s="6" t="s">
        <v>2728</v>
      </c>
    </row>
    <row r="194" spans="1:1" x14ac:dyDescent="0.3">
      <c r="A194" s="6" t="s">
        <v>2729</v>
      </c>
    </row>
    <row r="195" spans="1:1" x14ac:dyDescent="0.3">
      <c r="A195" s="6" t="s">
        <v>2730</v>
      </c>
    </row>
    <row r="196" spans="1:1" x14ac:dyDescent="0.3">
      <c r="A196" s="6" t="s">
        <v>2731</v>
      </c>
    </row>
    <row r="197" spans="1:1" x14ac:dyDescent="0.3">
      <c r="A197" s="6" t="s">
        <v>2732</v>
      </c>
    </row>
    <row r="198" spans="1:1" x14ac:dyDescent="0.3">
      <c r="A198" s="6" t="s">
        <v>2733</v>
      </c>
    </row>
    <row r="199" spans="1:1" x14ac:dyDescent="0.3">
      <c r="A199" s="6" t="s">
        <v>2734</v>
      </c>
    </row>
    <row r="200" spans="1:1" x14ac:dyDescent="0.3">
      <c r="A200" s="6" t="s">
        <v>2735</v>
      </c>
    </row>
    <row r="201" spans="1:1" x14ac:dyDescent="0.3">
      <c r="A201" s="6" t="s">
        <v>2736</v>
      </c>
    </row>
    <row r="202" spans="1:1" x14ac:dyDescent="0.3">
      <c r="A202" s="6" t="s">
        <v>2737</v>
      </c>
    </row>
    <row r="203" spans="1:1" x14ac:dyDescent="0.3">
      <c r="A203" s="6" t="s">
        <v>2738</v>
      </c>
    </row>
    <row r="204" spans="1:1" x14ac:dyDescent="0.3">
      <c r="A204" s="6" t="s">
        <v>2739</v>
      </c>
    </row>
    <row r="205" spans="1:1" x14ac:dyDescent="0.3">
      <c r="A205" s="6" t="s">
        <v>2740</v>
      </c>
    </row>
    <row r="206" spans="1:1" x14ac:dyDescent="0.3">
      <c r="A206" s="6" t="s">
        <v>2741</v>
      </c>
    </row>
    <row r="207" spans="1:1" x14ac:dyDescent="0.3">
      <c r="A207" s="6" t="s">
        <v>2742</v>
      </c>
    </row>
    <row r="208" spans="1:1" x14ac:dyDescent="0.3">
      <c r="A208" s="6" t="s">
        <v>2743</v>
      </c>
    </row>
    <row r="209" spans="1:1" x14ac:dyDescent="0.3">
      <c r="A209" s="6" t="s">
        <v>2744</v>
      </c>
    </row>
    <row r="210" spans="1:1" x14ac:dyDescent="0.3">
      <c r="A210" s="6" t="s">
        <v>2745</v>
      </c>
    </row>
    <row r="211" spans="1:1" x14ac:dyDescent="0.3">
      <c r="A211" s="6" t="s">
        <v>2746</v>
      </c>
    </row>
    <row r="212" spans="1:1" x14ac:dyDescent="0.3">
      <c r="A212" s="6" t="s">
        <v>2747</v>
      </c>
    </row>
    <row r="213" spans="1:1" x14ac:dyDescent="0.3">
      <c r="A213" s="6" t="s">
        <v>2748</v>
      </c>
    </row>
    <row r="214" spans="1:1" x14ac:dyDescent="0.3">
      <c r="A214" s="6" t="s">
        <v>2749</v>
      </c>
    </row>
    <row r="215" spans="1:1" x14ac:dyDescent="0.3">
      <c r="A215" s="6" t="s">
        <v>2750</v>
      </c>
    </row>
    <row r="216" spans="1:1" x14ac:dyDescent="0.3">
      <c r="A216" s="6" t="s">
        <v>2751</v>
      </c>
    </row>
    <row r="217" spans="1:1" x14ac:dyDescent="0.3">
      <c r="A217" s="6" t="s">
        <v>2752</v>
      </c>
    </row>
    <row r="218" spans="1:1" x14ac:dyDescent="0.3">
      <c r="A218" s="6" t="s">
        <v>2753</v>
      </c>
    </row>
    <row r="219" spans="1:1" x14ac:dyDescent="0.3">
      <c r="A219" s="6" t="s">
        <v>2754</v>
      </c>
    </row>
    <row r="220" spans="1:1" x14ac:dyDescent="0.3">
      <c r="A220" s="6" t="s">
        <v>2755</v>
      </c>
    </row>
    <row r="221" spans="1:1" x14ac:dyDescent="0.3">
      <c r="A221" s="6" t="s">
        <v>2756</v>
      </c>
    </row>
    <row r="222" spans="1:1" x14ac:dyDescent="0.3">
      <c r="A222" s="6" t="s">
        <v>2757</v>
      </c>
    </row>
    <row r="223" spans="1:1" x14ac:dyDescent="0.3">
      <c r="A223" s="6" t="s">
        <v>2758</v>
      </c>
    </row>
    <row r="224" spans="1:1" x14ac:dyDescent="0.3">
      <c r="A224" s="6" t="s">
        <v>2759</v>
      </c>
    </row>
    <row r="225" spans="1:1" x14ac:dyDescent="0.3">
      <c r="A225" s="6" t="s">
        <v>2760</v>
      </c>
    </row>
    <row r="226" spans="1:1" x14ac:dyDescent="0.3">
      <c r="A226" s="6" t="s">
        <v>2761</v>
      </c>
    </row>
    <row r="227" spans="1:1" x14ac:dyDescent="0.3">
      <c r="A227" s="6" t="s">
        <v>2762</v>
      </c>
    </row>
    <row r="228" spans="1:1" x14ac:dyDescent="0.3">
      <c r="A228" s="6" t="s">
        <v>2763</v>
      </c>
    </row>
    <row r="229" spans="1:1" x14ac:dyDescent="0.3">
      <c r="A229" s="6" t="s">
        <v>2764</v>
      </c>
    </row>
    <row r="230" spans="1:1" x14ac:dyDescent="0.3">
      <c r="A230" s="6" t="s">
        <v>2765</v>
      </c>
    </row>
    <row r="231" spans="1:1" x14ac:dyDescent="0.3">
      <c r="A231" s="6" t="s">
        <v>2766</v>
      </c>
    </row>
    <row r="232" spans="1:1" x14ac:dyDescent="0.3">
      <c r="A232" s="6" t="s">
        <v>2767</v>
      </c>
    </row>
    <row r="233" spans="1:1" x14ac:dyDescent="0.3">
      <c r="A233" s="6" t="s">
        <v>2768</v>
      </c>
    </row>
    <row r="234" spans="1:1" x14ac:dyDescent="0.3">
      <c r="A234" s="6" t="s">
        <v>2769</v>
      </c>
    </row>
    <row r="235" spans="1:1" x14ac:dyDescent="0.3">
      <c r="A235" s="6" t="s">
        <v>2770</v>
      </c>
    </row>
    <row r="236" spans="1:1" x14ac:dyDescent="0.3">
      <c r="A236" s="6" t="s">
        <v>2771</v>
      </c>
    </row>
    <row r="237" spans="1:1" x14ac:dyDescent="0.3">
      <c r="A237" s="6" t="s">
        <v>2772</v>
      </c>
    </row>
    <row r="238" spans="1:1" x14ac:dyDescent="0.3">
      <c r="A238" s="6" t="s">
        <v>2773</v>
      </c>
    </row>
    <row r="239" spans="1:1" x14ac:dyDescent="0.3">
      <c r="A239" s="6" t="s">
        <v>2774</v>
      </c>
    </row>
    <row r="240" spans="1:1" x14ac:dyDescent="0.3">
      <c r="A240" s="6" t="s">
        <v>2775</v>
      </c>
    </row>
    <row r="241" spans="1:1" x14ac:dyDescent="0.3">
      <c r="A241" s="6" t="s">
        <v>2776</v>
      </c>
    </row>
    <row r="242" spans="1:1" x14ac:dyDescent="0.3">
      <c r="A242" s="6" t="s">
        <v>2777</v>
      </c>
    </row>
    <row r="243" spans="1:1" x14ac:dyDescent="0.3">
      <c r="A243" s="6" t="s">
        <v>2778</v>
      </c>
    </row>
    <row r="244" spans="1:1" x14ac:dyDescent="0.3">
      <c r="A244" s="6" t="s">
        <v>2779</v>
      </c>
    </row>
    <row r="245" spans="1:1" x14ac:dyDescent="0.3">
      <c r="A245" s="6" t="s">
        <v>2780</v>
      </c>
    </row>
    <row r="246" spans="1:1" x14ac:dyDescent="0.3">
      <c r="A246" s="6" t="s">
        <v>2781</v>
      </c>
    </row>
    <row r="247" spans="1:1" x14ac:dyDescent="0.3">
      <c r="A247" s="6" t="s">
        <v>2782</v>
      </c>
    </row>
    <row r="248" spans="1:1" x14ac:dyDescent="0.3">
      <c r="A248" s="6" t="s">
        <v>2783</v>
      </c>
    </row>
    <row r="249" spans="1:1" x14ac:dyDescent="0.3">
      <c r="A249" s="6" t="s">
        <v>2784</v>
      </c>
    </row>
    <row r="250" spans="1:1" x14ac:dyDescent="0.3">
      <c r="A250" s="6" t="s">
        <v>2785</v>
      </c>
    </row>
    <row r="251" spans="1:1" x14ac:dyDescent="0.3">
      <c r="A251" s="6" t="s">
        <v>2786</v>
      </c>
    </row>
    <row r="252" spans="1:1" x14ac:dyDescent="0.3">
      <c r="A252" s="6" t="s">
        <v>2787</v>
      </c>
    </row>
    <row r="253" spans="1:1" x14ac:dyDescent="0.3">
      <c r="A253" s="6" t="s">
        <v>2788</v>
      </c>
    </row>
    <row r="254" spans="1:1" x14ac:dyDescent="0.3">
      <c r="A254" s="6" t="s">
        <v>2789</v>
      </c>
    </row>
    <row r="255" spans="1:1" x14ac:dyDescent="0.3">
      <c r="A255" s="6" t="s">
        <v>2790</v>
      </c>
    </row>
    <row r="256" spans="1:1" x14ac:dyDescent="0.3">
      <c r="A256" s="6" t="s">
        <v>2791</v>
      </c>
    </row>
    <row r="257" spans="1:1" x14ac:dyDescent="0.3">
      <c r="A257" s="6" t="s">
        <v>2792</v>
      </c>
    </row>
    <row r="258" spans="1:1" x14ac:dyDescent="0.3">
      <c r="A258" s="6" t="s">
        <v>2793</v>
      </c>
    </row>
    <row r="259" spans="1:1" x14ac:dyDescent="0.3">
      <c r="A259" s="6" t="s">
        <v>2794</v>
      </c>
    </row>
    <row r="260" spans="1:1" x14ac:dyDescent="0.3">
      <c r="A260" s="6" t="s">
        <v>2795</v>
      </c>
    </row>
    <row r="261" spans="1:1" x14ac:dyDescent="0.3">
      <c r="A261" s="6" t="s">
        <v>2796</v>
      </c>
    </row>
    <row r="262" spans="1:1" x14ac:dyDescent="0.3">
      <c r="A262" s="6" t="s">
        <v>2797</v>
      </c>
    </row>
    <row r="263" spans="1:1" x14ac:dyDescent="0.3">
      <c r="A263" s="6" t="s">
        <v>2798</v>
      </c>
    </row>
    <row r="264" spans="1:1" x14ac:dyDescent="0.3">
      <c r="A264" s="6" t="s">
        <v>2799</v>
      </c>
    </row>
    <row r="265" spans="1:1" x14ac:dyDescent="0.3">
      <c r="A265" s="6" t="s">
        <v>2800</v>
      </c>
    </row>
    <row r="266" spans="1:1" x14ac:dyDescent="0.3">
      <c r="A266" s="6" t="s">
        <v>2801</v>
      </c>
    </row>
    <row r="267" spans="1:1" x14ac:dyDescent="0.3">
      <c r="A267" s="6" t="s">
        <v>2802</v>
      </c>
    </row>
    <row r="268" spans="1:1" x14ac:dyDescent="0.3">
      <c r="A268" s="6" t="s">
        <v>2803</v>
      </c>
    </row>
    <row r="269" spans="1:1" x14ac:dyDescent="0.3">
      <c r="A269" s="6" t="s">
        <v>2804</v>
      </c>
    </row>
    <row r="270" spans="1:1" x14ac:dyDescent="0.3">
      <c r="A270" s="6" t="s">
        <v>2805</v>
      </c>
    </row>
    <row r="271" spans="1:1" x14ac:dyDescent="0.3">
      <c r="A271" s="6" t="s">
        <v>2806</v>
      </c>
    </row>
    <row r="272" spans="1:1" x14ac:dyDescent="0.3">
      <c r="A272" s="6" t="s">
        <v>2807</v>
      </c>
    </row>
    <row r="273" spans="1:1" x14ac:dyDescent="0.3">
      <c r="A273" s="6" t="s">
        <v>2808</v>
      </c>
    </row>
    <row r="274" spans="1:1" x14ac:dyDescent="0.3">
      <c r="A274" s="6" t="s">
        <v>2809</v>
      </c>
    </row>
    <row r="275" spans="1:1" x14ac:dyDescent="0.3">
      <c r="A275" s="6" t="s">
        <v>2810</v>
      </c>
    </row>
    <row r="276" spans="1:1" x14ac:dyDescent="0.3">
      <c r="A276" s="6" t="s">
        <v>2811</v>
      </c>
    </row>
    <row r="277" spans="1:1" x14ac:dyDescent="0.3">
      <c r="A277" s="6" t="s">
        <v>2812</v>
      </c>
    </row>
    <row r="278" spans="1:1" x14ac:dyDescent="0.3">
      <c r="A278" s="6" t="s">
        <v>2813</v>
      </c>
    </row>
    <row r="279" spans="1:1" x14ac:dyDescent="0.3">
      <c r="A279" s="6" t="s">
        <v>2814</v>
      </c>
    </row>
    <row r="280" spans="1:1" x14ac:dyDescent="0.3">
      <c r="A280" s="6" t="s">
        <v>2815</v>
      </c>
    </row>
    <row r="281" spans="1:1" x14ac:dyDescent="0.3">
      <c r="A281" s="6" t="s">
        <v>2816</v>
      </c>
    </row>
    <row r="282" spans="1:1" x14ac:dyDescent="0.3">
      <c r="A282" s="6" t="s">
        <v>2817</v>
      </c>
    </row>
    <row r="283" spans="1:1" x14ac:dyDescent="0.3">
      <c r="A283" s="6" t="s">
        <v>2818</v>
      </c>
    </row>
    <row r="284" spans="1:1" x14ac:dyDescent="0.3">
      <c r="A284" s="6" t="s">
        <v>2819</v>
      </c>
    </row>
    <row r="285" spans="1:1" x14ac:dyDescent="0.3">
      <c r="A285" s="6" t="s">
        <v>2820</v>
      </c>
    </row>
    <row r="286" spans="1:1" x14ac:dyDescent="0.3">
      <c r="A286" s="6" t="s">
        <v>2821</v>
      </c>
    </row>
    <row r="287" spans="1:1" x14ac:dyDescent="0.3">
      <c r="A287" s="6" t="s">
        <v>2822</v>
      </c>
    </row>
    <row r="288" spans="1:1" x14ac:dyDescent="0.3">
      <c r="A288" s="6" t="s">
        <v>2823</v>
      </c>
    </row>
    <row r="289" spans="1:1" x14ac:dyDescent="0.3">
      <c r="A289" s="6" t="s">
        <v>2824</v>
      </c>
    </row>
    <row r="290" spans="1:1" x14ac:dyDescent="0.3">
      <c r="A290" s="6" t="s">
        <v>2825</v>
      </c>
    </row>
    <row r="291" spans="1:1" x14ac:dyDescent="0.3">
      <c r="A291" s="6" t="s">
        <v>2826</v>
      </c>
    </row>
    <row r="292" spans="1:1" x14ac:dyDescent="0.3">
      <c r="A292" s="6" t="s">
        <v>2827</v>
      </c>
    </row>
    <row r="293" spans="1:1" x14ac:dyDescent="0.3">
      <c r="A293" s="6" t="s">
        <v>2828</v>
      </c>
    </row>
    <row r="294" spans="1:1" x14ac:dyDescent="0.3">
      <c r="A294" s="6" t="s">
        <v>2829</v>
      </c>
    </row>
    <row r="295" spans="1:1" x14ac:dyDescent="0.3">
      <c r="A295" s="6" t="s">
        <v>2830</v>
      </c>
    </row>
    <row r="296" spans="1:1" x14ac:dyDescent="0.3">
      <c r="A296" s="6" t="s">
        <v>2831</v>
      </c>
    </row>
    <row r="297" spans="1:1" x14ac:dyDescent="0.3">
      <c r="A297" s="6" t="s">
        <v>2832</v>
      </c>
    </row>
    <row r="298" spans="1:1" x14ac:dyDescent="0.3">
      <c r="A298" s="6" t="s">
        <v>2833</v>
      </c>
    </row>
    <row r="299" spans="1:1" x14ac:dyDescent="0.3">
      <c r="A299" s="6" t="s">
        <v>2834</v>
      </c>
    </row>
    <row r="300" spans="1:1" x14ac:dyDescent="0.3">
      <c r="A300" s="6" t="s">
        <v>2835</v>
      </c>
    </row>
    <row r="301" spans="1:1" x14ac:dyDescent="0.3">
      <c r="A301" s="6" t="s">
        <v>2836</v>
      </c>
    </row>
    <row r="302" spans="1:1" x14ac:dyDescent="0.3">
      <c r="A302" s="6" t="s">
        <v>2837</v>
      </c>
    </row>
    <row r="303" spans="1:1" x14ac:dyDescent="0.3">
      <c r="A303" s="6" t="s">
        <v>2838</v>
      </c>
    </row>
    <row r="304" spans="1:1" x14ac:dyDescent="0.3">
      <c r="A304" s="6" t="s">
        <v>2839</v>
      </c>
    </row>
    <row r="305" spans="1:1" x14ac:dyDescent="0.3">
      <c r="A305" s="6" t="s">
        <v>2840</v>
      </c>
    </row>
    <row r="306" spans="1:1" x14ac:dyDescent="0.3">
      <c r="A306" s="6" t="s">
        <v>2841</v>
      </c>
    </row>
    <row r="307" spans="1:1" x14ac:dyDescent="0.3">
      <c r="A307" s="6" t="s">
        <v>2842</v>
      </c>
    </row>
    <row r="308" spans="1:1" x14ac:dyDescent="0.3">
      <c r="A308" s="6" t="s">
        <v>2843</v>
      </c>
    </row>
    <row r="309" spans="1:1" x14ac:dyDescent="0.3">
      <c r="A309" s="6" t="s">
        <v>2844</v>
      </c>
    </row>
    <row r="310" spans="1:1" x14ac:dyDescent="0.3">
      <c r="A310" s="6" t="s">
        <v>2845</v>
      </c>
    </row>
    <row r="311" spans="1:1" x14ac:dyDescent="0.3">
      <c r="A311" s="6" t="s">
        <v>2846</v>
      </c>
    </row>
    <row r="312" spans="1:1" x14ac:dyDescent="0.3">
      <c r="A312" s="6" t="s">
        <v>2847</v>
      </c>
    </row>
    <row r="313" spans="1:1" x14ac:dyDescent="0.3">
      <c r="A313" s="6" t="s">
        <v>2848</v>
      </c>
    </row>
    <row r="314" spans="1:1" x14ac:dyDescent="0.3">
      <c r="A314" s="6" t="s">
        <v>2849</v>
      </c>
    </row>
    <row r="315" spans="1:1" x14ac:dyDescent="0.3">
      <c r="A315" s="6" t="s">
        <v>2850</v>
      </c>
    </row>
    <row r="316" spans="1:1" x14ac:dyDescent="0.3">
      <c r="A316" s="6" t="s">
        <v>2851</v>
      </c>
    </row>
    <row r="317" spans="1:1" x14ac:dyDescent="0.3">
      <c r="A317" s="6" t="s">
        <v>2852</v>
      </c>
    </row>
    <row r="318" spans="1:1" x14ac:dyDescent="0.3">
      <c r="A318" s="6" t="s">
        <v>2853</v>
      </c>
    </row>
    <row r="319" spans="1:1" x14ac:dyDescent="0.3">
      <c r="A319" s="6" t="s">
        <v>2854</v>
      </c>
    </row>
    <row r="320" spans="1:1" x14ac:dyDescent="0.3">
      <c r="A320" s="6" t="s">
        <v>2855</v>
      </c>
    </row>
    <row r="321" spans="1:1" x14ac:dyDescent="0.3">
      <c r="A321" s="6" t="s">
        <v>2856</v>
      </c>
    </row>
    <row r="322" spans="1:1" x14ac:dyDescent="0.3">
      <c r="A322" s="6" t="s">
        <v>2857</v>
      </c>
    </row>
    <row r="323" spans="1:1" x14ac:dyDescent="0.3">
      <c r="A323" s="6" t="s">
        <v>2858</v>
      </c>
    </row>
    <row r="324" spans="1:1" x14ac:dyDescent="0.3">
      <c r="A324" s="6" t="s">
        <v>2859</v>
      </c>
    </row>
    <row r="325" spans="1:1" x14ac:dyDescent="0.3">
      <c r="A325" s="6" t="s">
        <v>2860</v>
      </c>
    </row>
    <row r="326" spans="1:1" x14ac:dyDescent="0.3">
      <c r="A326" s="6" t="s">
        <v>2861</v>
      </c>
    </row>
    <row r="327" spans="1:1" x14ac:dyDescent="0.3">
      <c r="A327" s="6" t="s">
        <v>2862</v>
      </c>
    </row>
    <row r="328" spans="1:1" x14ac:dyDescent="0.3">
      <c r="A328" s="6" t="s">
        <v>2863</v>
      </c>
    </row>
    <row r="329" spans="1:1" x14ac:dyDescent="0.3">
      <c r="A329" s="6" t="s">
        <v>2864</v>
      </c>
    </row>
    <row r="330" spans="1:1" x14ac:dyDescent="0.3">
      <c r="A330" s="6" t="s">
        <v>2865</v>
      </c>
    </row>
    <row r="331" spans="1:1" x14ac:dyDescent="0.3">
      <c r="A331" s="6" t="s">
        <v>2866</v>
      </c>
    </row>
    <row r="332" spans="1:1" x14ac:dyDescent="0.3">
      <c r="A332" s="6" t="s">
        <v>2867</v>
      </c>
    </row>
    <row r="333" spans="1:1" x14ac:dyDescent="0.3">
      <c r="A333" s="6" t="s">
        <v>2868</v>
      </c>
    </row>
    <row r="334" spans="1:1" x14ac:dyDescent="0.3">
      <c r="A334" s="6" t="s">
        <v>2869</v>
      </c>
    </row>
    <row r="335" spans="1:1" x14ac:dyDescent="0.3">
      <c r="A335" s="6" t="s">
        <v>2870</v>
      </c>
    </row>
    <row r="336" spans="1:1" x14ac:dyDescent="0.3">
      <c r="A336" s="6" t="s">
        <v>2871</v>
      </c>
    </row>
    <row r="337" spans="1:1" x14ac:dyDescent="0.3">
      <c r="A337" s="6" t="s">
        <v>2872</v>
      </c>
    </row>
    <row r="338" spans="1:1" x14ac:dyDescent="0.3">
      <c r="A338" s="6" t="s">
        <v>2873</v>
      </c>
    </row>
    <row r="339" spans="1:1" x14ac:dyDescent="0.3">
      <c r="A339" s="6" t="s">
        <v>2874</v>
      </c>
    </row>
    <row r="340" spans="1:1" x14ac:dyDescent="0.3">
      <c r="A340" s="6" t="s">
        <v>2875</v>
      </c>
    </row>
    <row r="341" spans="1:1" x14ac:dyDescent="0.3">
      <c r="A341" s="6" t="s">
        <v>2876</v>
      </c>
    </row>
    <row r="342" spans="1:1" x14ac:dyDescent="0.3">
      <c r="A342" s="6" t="s">
        <v>2877</v>
      </c>
    </row>
    <row r="343" spans="1:1" x14ac:dyDescent="0.3">
      <c r="A343" s="6" t="s">
        <v>2878</v>
      </c>
    </row>
    <row r="344" spans="1:1" x14ac:dyDescent="0.3">
      <c r="A344" s="6" t="s">
        <v>2879</v>
      </c>
    </row>
    <row r="345" spans="1:1" x14ac:dyDescent="0.3">
      <c r="A345" s="6" t="s">
        <v>2880</v>
      </c>
    </row>
    <row r="346" spans="1:1" x14ac:dyDescent="0.3">
      <c r="A346" s="6" t="s">
        <v>2881</v>
      </c>
    </row>
    <row r="347" spans="1:1" x14ac:dyDescent="0.3">
      <c r="A347" s="6" t="s">
        <v>2882</v>
      </c>
    </row>
    <row r="348" spans="1:1" x14ac:dyDescent="0.3">
      <c r="A348" s="6" t="s">
        <v>2883</v>
      </c>
    </row>
    <row r="349" spans="1:1" x14ac:dyDescent="0.3">
      <c r="A349" s="6" t="s">
        <v>2884</v>
      </c>
    </row>
    <row r="350" spans="1:1" x14ac:dyDescent="0.3">
      <c r="A350" s="6" t="s">
        <v>2885</v>
      </c>
    </row>
    <row r="351" spans="1:1" x14ac:dyDescent="0.3">
      <c r="A351" s="6" t="s">
        <v>2886</v>
      </c>
    </row>
    <row r="352" spans="1:1" x14ac:dyDescent="0.3">
      <c r="A352" s="6" t="s">
        <v>2887</v>
      </c>
    </row>
    <row r="353" spans="1:1" x14ac:dyDescent="0.3">
      <c r="A353" s="6" t="s">
        <v>2888</v>
      </c>
    </row>
    <row r="354" spans="1:1" x14ac:dyDescent="0.3">
      <c r="A354" s="6" t="s">
        <v>2889</v>
      </c>
    </row>
    <row r="355" spans="1:1" x14ac:dyDescent="0.3">
      <c r="A355" s="6" t="s">
        <v>2890</v>
      </c>
    </row>
    <row r="356" spans="1:1" x14ac:dyDescent="0.3">
      <c r="A356" s="6" t="s">
        <v>2891</v>
      </c>
    </row>
    <row r="357" spans="1:1" x14ac:dyDescent="0.3">
      <c r="A357" s="6" t="s">
        <v>2892</v>
      </c>
    </row>
    <row r="358" spans="1:1" x14ac:dyDescent="0.3">
      <c r="A358" s="6" t="s">
        <v>2893</v>
      </c>
    </row>
    <row r="359" spans="1:1" x14ac:dyDescent="0.3">
      <c r="A359" s="6" t="s">
        <v>2894</v>
      </c>
    </row>
    <row r="360" spans="1:1" x14ac:dyDescent="0.3">
      <c r="A360" s="6" t="s">
        <v>2895</v>
      </c>
    </row>
    <row r="361" spans="1:1" x14ac:dyDescent="0.3">
      <c r="A361" s="6" t="s">
        <v>2896</v>
      </c>
    </row>
    <row r="362" spans="1:1" x14ac:dyDescent="0.3">
      <c r="A362" s="6" t="s">
        <v>2897</v>
      </c>
    </row>
    <row r="363" spans="1:1" x14ac:dyDescent="0.3">
      <c r="A363" s="6" t="s">
        <v>2898</v>
      </c>
    </row>
    <row r="364" spans="1:1" x14ac:dyDescent="0.3">
      <c r="A364" s="6" t="s">
        <v>2899</v>
      </c>
    </row>
    <row r="365" spans="1:1" x14ac:dyDescent="0.3">
      <c r="A365" s="6" t="s">
        <v>2900</v>
      </c>
    </row>
    <row r="366" spans="1:1" x14ac:dyDescent="0.3">
      <c r="A366" s="6" t="s">
        <v>2901</v>
      </c>
    </row>
    <row r="367" spans="1:1" x14ac:dyDescent="0.3">
      <c r="A367" s="6" t="s">
        <v>2902</v>
      </c>
    </row>
    <row r="368" spans="1:1" x14ac:dyDescent="0.3">
      <c r="A368" s="6" t="s">
        <v>2903</v>
      </c>
    </row>
    <row r="369" spans="1:1" x14ac:dyDescent="0.3">
      <c r="A369" s="6" t="s">
        <v>2904</v>
      </c>
    </row>
    <row r="370" spans="1:1" x14ac:dyDescent="0.3">
      <c r="A370" s="6" t="s">
        <v>2905</v>
      </c>
    </row>
    <row r="371" spans="1:1" x14ac:dyDescent="0.3">
      <c r="A371" s="6" t="s">
        <v>2906</v>
      </c>
    </row>
    <row r="372" spans="1:1" x14ac:dyDescent="0.3">
      <c r="A372" s="6" t="s">
        <v>2907</v>
      </c>
    </row>
    <row r="373" spans="1:1" x14ac:dyDescent="0.3">
      <c r="A373" s="6" t="s">
        <v>2908</v>
      </c>
    </row>
    <row r="374" spans="1:1" x14ac:dyDescent="0.3">
      <c r="A374" s="6" t="s">
        <v>2909</v>
      </c>
    </row>
    <row r="375" spans="1:1" x14ac:dyDescent="0.3">
      <c r="A375" s="6" t="s">
        <v>2910</v>
      </c>
    </row>
    <row r="376" spans="1:1" x14ac:dyDescent="0.3">
      <c r="A376" s="6" t="s">
        <v>2911</v>
      </c>
    </row>
    <row r="377" spans="1:1" x14ac:dyDescent="0.3">
      <c r="A377" s="6" t="s">
        <v>2912</v>
      </c>
    </row>
    <row r="378" spans="1:1" x14ac:dyDescent="0.3">
      <c r="A378" s="6" t="s">
        <v>2913</v>
      </c>
    </row>
    <row r="379" spans="1:1" x14ac:dyDescent="0.3">
      <c r="A379" s="6" t="s">
        <v>2914</v>
      </c>
    </row>
    <row r="380" spans="1:1" x14ac:dyDescent="0.3">
      <c r="A380" s="6" t="s">
        <v>2915</v>
      </c>
    </row>
    <row r="381" spans="1:1" x14ac:dyDescent="0.3">
      <c r="A381" s="6" t="s">
        <v>2916</v>
      </c>
    </row>
    <row r="382" spans="1:1" x14ac:dyDescent="0.3">
      <c r="A382" s="6" t="s">
        <v>2917</v>
      </c>
    </row>
    <row r="383" spans="1:1" x14ac:dyDescent="0.3">
      <c r="A383" s="6" t="s">
        <v>2918</v>
      </c>
    </row>
    <row r="384" spans="1:1" x14ac:dyDescent="0.3">
      <c r="A384" s="6" t="s">
        <v>2919</v>
      </c>
    </row>
    <row r="385" spans="1:1" x14ac:dyDescent="0.3">
      <c r="A385" s="6" t="s">
        <v>2920</v>
      </c>
    </row>
    <row r="386" spans="1:1" x14ac:dyDescent="0.3">
      <c r="A386" s="6" t="s">
        <v>2921</v>
      </c>
    </row>
    <row r="387" spans="1:1" x14ac:dyDescent="0.3">
      <c r="A387" s="6" t="s">
        <v>2922</v>
      </c>
    </row>
    <row r="388" spans="1:1" x14ac:dyDescent="0.3">
      <c r="A388" s="6" t="s">
        <v>2923</v>
      </c>
    </row>
    <row r="389" spans="1:1" x14ac:dyDescent="0.3">
      <c r="A389" s="6" t="s">
        <v>2924</v>
      </c>
    </row>
    <row r="390" spans="1:1" x14ac:dyDescent="0.3">
      <c r="A390" s="6" t="s">
        <v>2925</v>
      </c>
    </row>
    <row r="391" spans="1:1" x14ac:dyDescent="0.3">
      <c r="A391" s="6" t="s">
        <v>2926</v>
      </c>
    </row>
    <row r="392" spans="1:1" x14ac:dyDescent="0.3">
      <c r="A392" s="6" t="s">
        <v>2927</v>
      </c>
    </row>
    <row r="393" spans="1:1" x14ac:dyDescent="0.3">
      <c r="A393" s="6" t="s">
        <v>2928</v>
      </c>
    </row>
    <row r="394" spans="1:1" x14ac:dyDescent="0.3">
      <c r="A394" s="6" t="s">
        <v>2929</v>
      </c>
    </row>
    <row r="395" spans="1:1" x14ac:dyDescent="0.3">
      <c r="A395" s="6" t="s">
        <v>2930</v>
      </c>
    </row>
    <row r="396" spans="1:1" x14ac:dyDescent="0.3">
      <c r="A396" s="6" t="s">
        <v>2931</v>
      </c>
    </row>
    <row r="397" spans="1:1" x14ac:dyDescent="0.3">
      <c r="A397" s="6" t="s">
        <v>2932</v>
      </c>
    </row>
    <row r="398" spans="1:1" x14ac:dyDescent="0.3">
      <c r="A398" s="6" t="s">
        <v>2933</v>
      </c>
    </row>
    <row r="399" spans="1:1" x14ac:dyDescent="0.3">
      <c r="A399" s="6" t="s">
        <v>2934</v>
      </c>
    </row>
    <row r="400" spans="1:1" x14ac:dyDescent="0.3">
      <c r="A400" s="6" t="s">
        <v>2935</v>
      </c>
    </row>
    <row r="401" spans="1:1" x14ac:dyDescent="0.3">
      <c r="A401" s="6" t="s">
        <v>2936</v>
      </c>
    </row>
    <row r="402" spans="1:1" x14ac:dyDescent="0.3">
      <c r="A402" s="6" t="s">
        <v>2937</v>
      </c>
    </row>
    <row r="403" spans="1:1" x14ac:dyDescent="0.3">
      <c r="A403" s="6" t="s">
        <v>2938</v>
      </c>
    </row>
    <row r="404" spans="1:1" ht="83.4" x14ac:dyDescent="0.3">
      <c r="A404" s="6" t="s">
        <v>2939</v>
      </c>
    </row>
    <row r="405" spans="1:1" x14ac:dyDescent="0.3">
      <c r="A405" s="6" t="s">
        <v>2940</v>
      </c>
    </row>
    <row r="406" spans="1:1" x14ac:dyDescent="0.3">
      <c r="A406" s="6" t="s">
        <v>2941</v>
      </c>
    </row>
    <row r="407" spans="1:1" x14ac:dyDescent="0.3">
      <c r="A407" s="6" t="s">
        <v>2942</v>
      </c>
    </row>
    <row r="408" spans="1:1" x14ac:dyDescent="0.3">
      <c r="A408" s="6" t="s">
        <v>2943</v>
      </c>
    </row>
    <row r="409" spans="1:1" x14ac:dyDescent="0.3">
      <c r="A409" s="6" t="s">
        <v>2944</v>
      </c>
    </row>
    <row r="410" spans="1:1" x14ac:dyDescent="0.3">
      <c r="A410" s="6" t="s">
        <v>2945</v>
      </c>
    </row>
    <row r="411" spans="1:1" x14ac:dyDescent="0.3">
      <c r="A411" s="6" t="s">
        <v>2946</v>
      </c>
    </row>
    <row r="412" spans="1:1" x14ac:dyDescent="0.3">
      <c r="A412" s="6" t="s">
        <v>2947</v>
      </c>
    </row>
    <row r="413" spans="1:1" x14ac:dyDescent="0.3">
      <c r="A413" s="6" t="s">
        <v>2948</v>
      </c>
    </row>
    <row r="414" spans="1:1" x14ac:dyDescent="0.3">
      <c r="A414" s="6" t="s">
        <v>2949</v>
      </c>
    </row>
    <row r="415" spans="1:1" x14ac:dyDescent="0.3">
      <c r="A415" s="6" t="s">
        <v>2950</v>
      </c>
    </row>
    <row r="416" spans="1:1" x14ac:dyDescent="0.3">
      <c r="A416" s="6" t="s">
        <v>2951</v>
      </c>
    </row>
    <row r="417" spans="1:1" x14ac:dyDescent="0.3">
      <c r="A417" s="6" t="s">
        <v>2952</v>
      </c>
    </row>
    <row r="418" spans="1:1" x14ac:dyDescent="0.3">
      <c r="A418" s="6" t="s">
        <v>2953</v>
      </c>
    </row>
    <row r="419" spans="1:1" x14ac:dyDescent="0.3">
      <c r="A419" s="6" t="s">
        <v>2954</v>
      </c>
    </row>
    <row r="420" spans="1:1" x14ac:dyDescent="0.3">
      <c r="A420" s="6" t="s">
        <v>2955</v>
      </c>
    </row>
    <row r="421" spans="1:1" x14ac:dyDescent="0.3">
      <c r="A421" s="6" t="s">
        <v>2956</v>
      </c>
    </row>
    <row r="422" spans="1:1" x14ac:dyDescent="0.3">
      <c r="A422" s="6" t="s">
        <v>2957</v>
      </c>
    </row>
    <row r="423" spans="1:1" x14ac:dyDescent="0.3">
      <c r="A423" s="6" t="s">
        <v>2958</v>
      </c>
    </row>
    <row r="424" spans="1:1" x14ac:dyDescent="0.3">
      <c r="A424" s="6" t="s">
        <v>2959</v>
      </c>
    </row>
    <row r="425" spans="1:1" x14ac:dyDescent="0.3">
      <c r="A425" s="6" t="s">
        <v>2960</v>
      </c>
    </row>
    <row r="426" spans="1:1" x14ac:dyDescent="0.3">
      <c r="A426" s="6" t="s">
        <v>2961</v>
      </c>
    </row>
    <row r="427" spans="1:1" x14ac:dyDescent="0.3">
      <c r="A427" s="6" t="s">
        <v>2962</v>
      </c>
    </row>
    <row r="428" spans="1:1" x14ac:dyDescent="0.3">
      <c r="A428" s="6" t="s">
        <v>2963</v>
      </c>
    </row>
    <row r="429" spans="1:1" x14ac:dyDescent="0.3">
      <c r="A429" s="6" t="s">
        <v>2964</v>
      </c>
    </row>
    <row r="430" spans="1:1" x14ac:dyDescent="0.3">
      <c r="A430" s="6" t="s">
        <v>2965</v>
      </c>
    </row>
    <row r="431" spans="1:1" x14ac:dyDescent="0.3">
      <c r="A431" s="6" t="s">
        <v>2966</v>
      </c>
    </row>
    <row r="432" spans="1:1" x14ac:dyDescent="0.3">
      <c r="A432" s="6" t="s">
        <v>2967</v>
      </c>
    </row>
    <row r="433" spans="1:1" x14ac:dyDescent="0.3">
      <c r="A433" s="6" t="s">
        <v>2968</v>
      </c>
    </row>
    <row r="434" spans="1:1" x14ac:dyDescent="0.3">
      <c r="A434" s="6" t="s">
        <v>2969</v>
      </c>
    </row>
    <row r="435" spans="1:1" x14ac:dyDescent="0.3">
      <c r="A435" s="6" t="s">
        <v>2970</v>
      </c>
    </row>
    <row r="436" spans="1:1" x14ac:dyDescent="0.3">
      <c r="A436" s="6" t="s">
        <v>2971</v>
      </c>
    </row>
    <row r="437" spans="1:1" x14ac:dyDescent="0.3">
      <c r="A437" s="6" t="s">
        <v>2972</v>
      </c>
    </row>
    <row r="438" spans="1:1" x14ac:dyDescent="0.3">
      <c r="A438" s="6" t="s">
        <v>2973</v>
      </c>
    </row>
    <row r="439" spans="1:1" x14ac:dyDescent="0.3">
      <c r="A439" s="6" t="s">
        <v>2974</v>
      </c>
    </row>
    <row r="440" spans="1:1" x14ac:dyDescent="0.3">
      <c r="A440" s="6" t="s">
        <v>2975</v>
      </c>
    </row>
    <row r="441" spans="1:1" x14ac:dyDescent="0.3">
      <c r="A441" s="6" t="s">
        <v>2976</v>
      </c>
    </row>
    <row r="442" spans="1:1" x14ac:dyDescent="0.3">
      <c r="A442" s="6" t="s">
        <v>2977</v>
      </c>
    </row>
    <row r="443" spans="1:1" x14ac:dyDescent="0.3">
      <c r="A443" s="6" t="s">
        <v>2978</v>
      </c>
    </row>
    <row r="444" spans="1:1" x14ac:dyDescent="0.3">
      <c r="A444" s="6" t="s">
        <v>2979</v>
      </c>
    </row>
    <row r="445" spans="1:1" x14ac:dyDescent="0.3">
      <c r="A445" s="6" t="s">
        <v>2980</v>
      </c>
    </row>
    <row r="446" spans="1:1" x14ac:dyDescent="0.3">
      <c r="A446" s="6" t="s">
        <v>2981</v>
      </c>
    </row>
    <row r="447" spans="1:1" x14ac:dyDescent="0.3">
      <c r="A447" s="6" t="s">
        <v>2982</v>
      </c>
    </row>
    <row r="448" spans="1:1" x14ac:dyDescent="0.3">
      <c r="A448" s="6" t="s">
        <v>2983</v>
      </c>
    </row>
    <row r="449" spans="1:1" x14ac:dyDescent="0.3">
      <c r="A449" s="6" t="s">
        <v>2984</v>
      </c>
    </row>
    <row r="450" spans="1:1" x14ac:dyDescent="0.3">
      <c r="A450" s="6" t="s">
        <v>2985</v>
      </c>
    </row>
    <row r="451" spans="1:1" x14ac:dyDescent="0.3">
      <c r="A451" s="6" t="s">
        <v>2986</v>
      </c>
    </row>
    <row r="452" spans="1:1" x14ac:dyDescent="0.3">
      <c r="A452" s="6" t="s">
        <v>2987</v>
      </c>
    </row>
    <row r="453" spans="1:1" x14ac:dyDescent="0.3">
      <c r="A453" s="6" t="s">
        <v>2988</v>
      </c>
    </row>
    <row r="454" spans="1:1" x14ac:dyDescent="0.3">
      <c r="A454" s="6" t="s">
        <v>2989</v>
      </c>
    </row>
    <row r="455" spans="1:1" x14ac:dyDescent="0.3">
      <c r="A455" s="6" t="s">
        <v>2990</v>
      </c>
    </row>
    <row r="456" spans="1:1" x14ac:dyDescent="0.3">
      <c r="A456" s="6" t="s">
        <v>2991</v>
      </c>
    </row>
    <row r="457" spans="1:1" x14ac:dyDescent="0.3">
      <c r="A457" s="6" t="s">
        <v>2992</v>
      </c>
    </row>
    <row r="458" spans="1:1" x14ac:dyDescent="0.3">
      <c r="A458" s="6" t="s">
        <v>2993</v>
      </c>
    </row>
    <row r="459" spans="1:1" x14ac:dyDescent="0.3">
      <c r="A459" s="6" t="s">
        <v>2994</v>
      </c>
    </row>
    <row r="460" spans="1:1" x14ac:dyDescent="0.3">
      <c r="A460" s="6" t="s">
        <v>2995</v>
      </c>
    </row>
    <row r="461" spans="1:1" x14ac:dyDescent="0.3">
      <c r="A461" s="6" t="s">
        <v>2996</v>
      </c>
    </row>
    <row r="462" spans="1:1" x14ac:dyDescent="0.3">
      <c r="A462" s="6" t="s">
        <v>2997</v>
      </c>
    </row>
    <row r="463" spans="1:1" x14ac:dyDescent="0.3">
      <c r="A463" s="6" t="s">
        <v>2998</v>
      </c>
    </row>
    <row r="464" spans="1:1" x14ac:dyDescent="0.3">
      <c r="A464" s="6" t="s">
        <v>2999</v>
      </c>
    </row>
    <row r="465" spans="1:1" x14ac:dyDescent="0.3">
      <c r="A465" s="6" t="s">
        <v>3000</v>
      </c>
    </row>
    <row r="466" spans="1:1" x14ac:dyDescent="0.3">
      <c r="A466" s="6" t="s">
        <v>3001</v>
      </c>
    </row>
    <row r="467" spans="1:1" x14ac:dyDescent="0.3">
      <c r="A467" s="6" t="s">
        <v>3002</v>
      </c>
    </row>
    <row r="468" spans="1:1" x14ac:dyDescent="0.3">
      <c r="A468" s="6" t="s">
        <v>3003</v>
      </c>
    </row>
    <row r="469" spans="1:1" x14ac:dyDescent="0.3">
      <c r="A469" s="6" t="s">
        <v>3004</v>
      </c>
    </row>
    <row r="470" spans="1:1" x14ac:dyDescent="0.3">
      <c r="A470" s="6" t="s">
        <v>3005</v>
      </c>
    </row>
    <row r="471" spans="1:1" x14ac:dyDescent="0.3">
      <c r="A471" s="6" t="s">
        <v>3006</v>
      </c>
    </row>
    <row r="472" spans="1:1" x14ac:dyDescent="0.3">
      <c r="A472" s="6" t="s">
        <v>3007</v>
      </c>
    </row>
    <row r="473" spans="1:1" x14ac:dyDescent="0.3">
      <c r="A473" s="6" t="s">
        <v>3008</v>
      </c>
    </row>
    <row r="474" spans="1:1" x14ac:dyDescent="0.3">
      <c r="A474" s="6" t="s">
        <v>3009</v>
      </c>
    </row>
    <row r="475" spans="1:1" x14ac:dyDescent="0.3">
      <c r="A475" s="6" t="s">
        <v>3010</v>
      </c>
    </row>
    <row r="476" spans="1:1" x14ac:dyDescent="0.3">
      <c r="A476" s="6" t="s">
        <v>3011</v>
      </c>
    </row>
    <row r="477" spans="1:1" x14ac:dyDescent="0.3">
      <c r="A477" s="6" t="s">
        <v>3012</v>
      </c>
    </row>
    <row r="478" spans="1:1" x14ac:dyDescent="0.3">
      <c r="A478" s="6" t="s">
        <v>3013</v>
      </c>
    </row>
    <row r="479" spans="1:1" x14ac:dyDescent="0.3">
      <c r="A479" s="6" t="s">
        <v>3014</v>
      </c>
    </row>
    <row r="480" spans="1:1" x14ac:dyDescent="0.3">
      <c r="A480" s="6" t="s">
        <v>3015</v>
      </c>
    </row>
    <row r="481" spans="1:1" x14ac:dyDescent="0.3">
      <c r="A481" s="6" t="s">
        <v>3016</v>
      </c>
    </row>
    <row r="482" spans="1:1" x14ac:dyDescent="0.3">
      <c r="A482" s="6" t="s">
        <v>3017</v>
      </c>
    </row>
    <row r="483" spans="1:1" x14ac:dyDescent="0.3">
      <c r="A483" s="6" t="s">
        <v>3018</v>
      </c>
    </row>
    <row r="484" spans="1:1" x14ac:dyDescent="0.3">
      <c r="A484" s="6" t="s">
        <v>3019</v>
      </c>
    </row>
    <row r="485" spans="1:1" x14ac:dyDescent="0.3">
      <c r="A485" s="6" t="s">
        <v>3020</v>
      </c>
    </row>
    <row r="486" spans="1:1" x14ac:dyDescent="0.3">
      <c r="A486" s="6" t="s">
        <v>3021</v>
      </c>
    </row>
    <row r="487" spans="1:1" x14ac:dyDescent="0.3">
      <c r="A487" s="6" t="s">
        <v>3022</v>
      </c>
    </row>
    <row r="488" spans="1:1" x14ac:dyDescent="0.3">
      <c r="A488" s="6" t="s">
        <v>3023</v>
      </c>
    </row>
    <row r="489" spans="1:1" x14ac:dyDescent="0.3">
      <c r="A489" s="6" t="s">
        <v>3024</v>
      </c>
    </row>
    <row r="490" spans="1:1" x14ac:dyDescent="0.3">
      <c r="A490" s="6" t="s">
        <v>3025</v>
      </c>
    </row>
    <row r="491" spans="1:1" x14ac:dyDescent="0.3">
      <c r="A491" s="6" t="s">
        <v>3026</v>
      </c>
    </row>
    <row r="492" spans="1:1" x14ac:dyDescent="0.3">
      <c r="A492" s="6" t="s">
        <v>3027</v>
      </c>
    </row>
    <row r="493" spans="1:1" x14ac:dyDescent="0.3">
      <c r="A493" s="6" t="s">
        <v>3028</v>
      </c>
    </row>
    <row r="494" spans="1:1" x14ac:dyDescent="0.3">
      <c r="A494" s="6" t="s">
        <v>3029</v>
      </c>
    </row>
    <row r="495" spans="1:1" x14ac:dyDescent="0.3">
      <c r="A495" s="6" t="s">
        <v>3030</v>
      </c>
    </row>
    <row r="496" spans="1:1" x14ac:dyDescent="0.3">
      <c r="A496" s="6"/>
    </row>
    <row r="497" spans="1:1" x14ac:dyDescent="0.3">
      <c r="A497"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0A1FF-3EE7-4AAE-A55C-B856049863EA}">
  <dimension ref="A1:F511"/>
  <sheetViews>
    <sheetView workbookViewId="0">
      <selection sqref="A1:A1048576"/>
    </sheetView>
  </sheetViews>
  <sheetFormatPr defaultRowHeight="14.4" x14ac:dyDescent="0.3"/>
  <cols>
    <col min="1" max="1" width="19.5546875" style="26" customWidth="1"/>
    <col min="2" max="2" width="30.33203125" customWidth="1"/>
  </cols>
  <sheetData>
    <row r="1" spans="1:6" x14ac:dyDescent="0.3">
      <c r="A1" s="26" t="s">
        <v>3727</v>
      </c>
      <c r="B1" t="s">
        <v>3054</v>
      </c>
      <c r="C1" t="s">
        <v>3055</v>
      </c>
      <c r="D1" t="s">
        <v>3056</v>
      </c>
      <c r="E1" t="s">
        <v>3057</v>
      </c>
      <c r="F1" t="s">
        <v>3642</v>
      </c>
    </row>
    <row r="2" spans="1:6" x14ac:dyDescent="0.3">
      <c r="A2" s="26" t="s">
        <v>3058</v>
      </c>
      <c r="B2" t="s">
        <v>3059</v>
      </c>
      <c r="C2">
        <v>5</v>
      </c>
      <c r="D2">
        <v>37.5</v>
      </c>
      <c r="E2">
        <v>2</v>
      </c>
      <c r="F2" t="s">
        <v>3643</v>
      </c>
    </row>
    <row r="3" spans="1:6" x14ac:dyDescent="0.3">
      <c r="A3" s="26" t="s">
        <v>1401</v>
      </c>
      <c r="B3" t="s">
        <v>1402</v>
      </c>
      <c r="C3">
        <v>0</v>
      </c>
      <c r="D3">
        <v>25</v>
      </c>
      <c r="E3">
        <v>5</v>
      </c>
      <c r="F3" t="s">
        <v>3644</v>
      </c>
    </row>
    <row r="4" spans="1:6" x14ac:dyDescent="0.3">
      <c r="A4" s="26" t="s">
        <v>3060</v>
      </c>
      <c r="B4" t="s">
        <v>3061</v>
      </c>
      <c r="C4">
        <v>8.1999999999999993</v>
      </c>
      <c r="D4">
        <v>25</v>
      </c>
      <c r="E4">
        <v>2</v>
      </c>
      <c r="F4" t="s">
        <v>3643</v>
      </c>
    </row>
    <row r="5" spans="1:6" x14ac:dyDescent="0.3">
      <c r="A5" s="26" t="s">
        <v>3062</v>
      </c>
      <c r="B5" t="s">
        <v>835</v>
      </c>
      <c r="C5">
        <v>-2</v>
      </c>
      <c r="D5">
        <v>40</v>
      </c>
      <c r="E5">
        <v>6</v>
      </c>
      <c r="F5" t="s">
        <v>3644</v>
      </c>
    </row>
    <row r="6" spans="1:6" x14ac:dyDescent="0.3">
      <c r="A6" s="26" t="s">
        <v>1403</v>
      </c>
      <c r="B6" t="s">
        <v>1404</v>
      </c>
      <c r="C6">
        <v>0</v>
      </c>
      <c r="D6">
        <v>43</v>
      </c>
      <c r="E6">
        <v>25</v>
      </c>
      <c r="F6" t="s">
        <v>3644</v>
      </c>
    </row>
    <row r="7" spans="1:6" x14ac:dyDescent="0.3">
      <c r="A7" s="26" t="s">
        <v>3063</v>
      </c>
      <c r="B7" t="s">
        <v>837</v>
      </c>
      <c r="C7">
        <v>-2</v>
      </c>
      <c r="D7">
        <v>40</v>
      </c>
      <c r="E7">
        <v>3</v>
      </c>
      <c r="F7" t="s">
        <v>3644</v>
      </c>
    </row>
    <row r="8" spans="1:6" x14ac:dyDescent="0.3">
      <c r="A8" s="26" t="s">
        <v>3064</v>
      </c>
      <c r="B8" t="s">
        <v>3065</v>
      </c>
      <c r="C8">
        <v>3</v>
      </c>
      <c r="D8">
        <v>45</v>
      </c>
      <c r="E8">
        <v>3</v>
      </c>
      <c r="F8" t="s">
        <v>3643</v>
      </c>
    </row>
    <row r="9" spans="1:6" x14ac:dyDescent="0.3">
      <c r="A9" s="26" t="s">
        <v>1405</v>
      </c>
      <c r="B9" t="s">
        <v>1406</v>
      </c>
      <c r="C9">
        <v>10</v>
      </c>
      <c r="D9">
        <v>40</v>
      </c>
      <c r="E9">
        <v>20</v>
      </c>
      <c r="F9" t="s">
        <v>3644</v>
      </c>
    </row>
    <row r="10" spans="1:6" x14ac:dyDescent="0.3">
      <c r="A10" s="26" t="s">
        <v>3066</v>
      </c>
      <c r="B10" t="s">
        <v>3067</v>
      </c>
      <c r="C10">
        <v>1.5</v>
      </c>
      <c r="D10">
        <v>37</v>
      </c>
      <c r="E10">
        <v>3</v>
      </c>
      <c r="F10" t="s">
        <v>3643</v>
      </c>
    </row>
    <row r="11" spans="1:6" x14ac:dyDescent="0.3">
      <c r="A11" s="26" t="s">
        <v>1407</v>
      </c>
      <c r="B11" t="s">
        <v>1408</v>
      </c>
      <c r="C11">
        <v>12</v>
      </c>
      <c r="D11">
        <v>34.5</v>
      </c>
      <c r="E11">
        <v>12</v>
      </c>
      <c r="F11" t="s">
        <v>3644</v>
      </c>
    </row>
    <row r="12" spans="1:6" x14ac:dyDescent="0.3">
      <c r="A12" s="26" t="s">
        <v>3068</v>
      </c>
      <c r="B12" t="s">
        <v>3069</v>
      </c>
      <c r="C12">
        <v>2</v>
      </c>
      <c r="D12">
        <v>18</v>
      </c>
      <c r="E12">
        <v>3</v>
      </c>
      <c r="F12" t="s">
        <v>3643</v>
      </c>
    </row>
    <row r="13" spans="1:6" x14ac:dyDescent="0.3">
      <c r="A13" s="26" t="s">
        <v>3070</v>
      </c>
      <c r="B13" t="s">
        <v>3071</v>
      </c>
      <c r="C13">
        <v>3.9</v>
      </c>
      <c r="D13">
        <v>36.1</v>
      </c>
      <c r="E13">
        <v>3</v>
      </c>
      <c r="F13" t="s">
        <v>3643</v>
      </c>
    </row>
    <row r="14" spans="1:6" x14ac:dyDescent="0.3">
      <c r="A14" s="26" t="s">
        <v>3072</v>
      </c>
      <c r="B14" t="s">
        <v>3073</v>
      </c>
      <c r="C14">
        <v>10</v>
      </c>
      <c r="D14">
        <v>30</v>
      </c>
      <c r="E14">
        <v>3</v>
      </c>
      <c r="F14" t="s">
        <v>3643</v>
      </c>
    </row>
    <row r="15" spans="1:6" x14ac:dyDescent="0.3">
      <c r="A15" s="26" t="s">
        <v>3074</v>
      </c>
      <c r="B15" t="s">
        <v>3075</v>
      </c>
      <c r="C15">
        <v>-2</v>
      </c>
      <c r="D15">
        <v>40</v>
      </c>
      <c r="E15">
        <v>3</v>
      </c>
      <c r="F15" t="s">
        <v>3643</v>
      </c>
    </row>
    <row r="16" spans="1:6" x14ac:dyDescent="0.3">
      <c r="A16" s="26" t="s">
        <v>1409</v>
      </c>
      <c r="B16" t="s">
        <v>1410</v>
      </c>
      <c r="C16">
        <v>6</v>
      </c>
      <c r="D16">
        <v>36</v>
      </c>
      <c r="E16">
        <v>9</v>
      </c>
      <c r="F16" t="s">
        <v>3644</v>
      </c>
    </row>
    <row r="17" spans="1:6" x14ac:dyDescent="0.3">
      <c r="A17" s="26" t="s">
        <v>1411</v>
      </c>
      <c r="B17" t="s">
        <v>1412</v>
      </c>
      <c r="C17">
        <v>-0.6</v>
      </c>
      <c r="D17">
        <v>36.299999999999997</v>
      </c>
      <c r="E17">
        <v>11</v>
      </c>
      <c r="F17" t="s">
        <v>3644</v>
      </c>
    </row>
    <row r="18" spans="1:6" x14ac:dyDescent="0.3">
      <c r="A18" s="26" t="s">
        <v>3076</v>
      </c>
      <c r="B18" t="s">
        <v>838</v>
      </c>
      <c r="C18">
        <v>0</v>
      </c>
      <c r="D18">
        <v>41</v>
      </c>
      <c r="E18">
        <v>24</v>
      </c>
      <c r="F18" t="s">
        <v>3644</v>
      </c>
    </row>
    <row r="19" spans="1:6" x14ac:dyDescent="0.3">
      <c r="A19" s="26" t="s">
        <v>1413</v>
      </c>
      <c r="B19" t="s">
        <v>1414</v>
      </c>
      <c r="C19">
        <v>1.7</v>
      </c>
      <c r="D19">
        <v>34.15</v>
      </c>
      <c r="E19">
        <v>5</v>
      </c>
      <c r="F19" t="s">
        <v>3644</v>
      </c>
    </row>
    <row r="20" spans="1:6" x14ac:dyDescent="0.3">
      <c r="A20" s="26" t="s">
        <v>1415</v>
      </c>
      <c r="B20" t="s">
        <v>1416</v>
      </c>
      <c r="C20">
        <v>10</v>
      </c>
      <c r="D20">
        <v>35</v>
      </c>
      <c r="E20">
        <v>3</v>
      </c>
      <c r="F20" t="s">
        <v>3644</v>
      </c>
    </row>
    <row r="21" spans="1:6" x14ac:dyDescent="0.3">
      <c r="A21" s="26" t="s">
        <v>3077</v>
      </c>
      <c r="B21" t="s">
        <v>3078</v>
      </c>
      <c r="C21">
        <v>10</v>
      </c>
      <c r="D21">
        <v>39</v>
      </c>
      <c r="E21">
        <v>9</v>
      </c>
      <c r="F21" t="s">
        <v>3643</v>
      </c>
    </row>
    <row r="22" spans="1:6" x14ac:dyDescent="0.3">
      <c r="A22" s="26" t="s">
        <v>3079</v>
      </c>
      <c r="B22" t="s">
        <v>3080</v>
      </c>
      <c r="C22">
        <v>4</v>
      </c>
      <c r="D22">
        <v>35</v>
      </c>
      <c r="E22">
        <v>3</v>
      </c>
      <c r="F22" t="s">
        <v>3643</v>
      </c>
    </row>
    <row r="23" spans="1:6" x14ac:dyDescent="0.3">
      <c r="A23" s="26" t="s">
        <v>1417</v>
      </c>
      <c r="B23" t="s">
        <v>1418</v>
      </c>
      <c r="C23">
        <v>6.5</v>
      </c>
      <c r="D23">
        <v>37</v>
      </c>
      <c r="E23">
        <v>32</v>
      </c>
      <c r="F23" t="s">
        <v>3644</v>
      </c>
    </row>
    <row r="24" spans="1:6" x14ac:dyDescent="0.3">
      <c r="A24" s="26" t="s">
        <v>3081</v>
      </c>
      <c r="B24" t="s">
        <v>3082</v>
      </c>
      <c r="C24">
        <v>9</v>
      </c>
      <c r="D24">
        <v>35</v>
      </c>
      <c r="E24">
        <v>13</v>
      </c>
      <c r="F24" t="s">
        <v>3643</v>
      </c>
    </row>
    <row r="25" spans="1:6" x14ac:dyDescent="0.3">
      <c r="A25" s="26" t="s">
        <v>3083</v>
      </c>
      <c r="B25" t="s">
        <v>843</v>
      </c>
      <c r="C25">
        <v>15</v>
      </c>
      <c r="D25">
        <v>30</v>
      </c>
      <c r="E25">
        <v>5</v>
      </c>
      <c r="F25" t="s">
        <v>3644</v>
      </c>
    </row>
    <row r="26" spans="1:6" x14ac:dyDescent="0.3">
      <c r="A26" s="26" t="s">
        <v>3084</v>
      </c>
      <c r="B26" t="s">
        <v>3085</v>
      </c>
      <c r="C26">
        <v>0</v>
      </c>
      <c r="D26">
        <v>30</v>
      </c>
      <c r="E26">
        <v>6</v>
      </c>
      <c r="F26" t="s">
        <v>3643</v>
      </c>
    </row>
    <row r="27" spans="1:6" x14ac:dyDescent="0.3">
      <c r="A27" s="26" t="s">
        <v>3086</v>
      </c>
      <c r="B27" t="s">
        <v>3087</v>
      </c>
      <c r="C27">
        <v>5</v>
      </c>
      <c r="D27">
        <v>32</v>
      </c>
      <c r="E27">
        <v>12</v>
      </c>
      <c r="F27" t="s">
        <v>3643</v>
      </c>
    </row>
    <row r="28" spans="1:6" x14ac:dyDescent="0.3">
      <c r="A28" s="26" t="s">
        <v>3088</v>
      </c>
      <c r="B28" t="s">
        <v>383</v>
      </c>
      <c r="C28">
        <v>7.2</v>
      </c>
      <c r="D28">
        <v>37.799999999999997</v>
      </c>
      <c r="E28">
        <v>2</v>
      </c>
      <c r="F28" t="s">
        <v>3643</v>
      </c>
    </row>
    <row r="29" spans="1:6" x14ac:dyDescent="0.3">
      <c r="A29" s="26" t="s">
        <v>3089</v>
      </c>
      <c r="B29" t="s">
        <v>3090</v>
      </c>
      <c r="C29">
        <v>6</v>
      </c>
      <c r="D29">
        <v>35</v>
      </c>
      <c r="E29">
        <v>3</v>
      </c>
      <c r="F29" t="s">
        <v>3643</v>
      </c>
    </row>
    <row r="30" spans="1:6" x14ac:dyDescent="0.3">
      <c r="A30" s="26" t="s">
        <v>1419</v>
      </c>
      <c r="B30" t="s">
        <v>1375</v>
      </c>
      <c r="C30">
        <v>15</v>
      </c>
      <c r="D30">
        <v>40</v>
      </c>
      <c r="E30">
        <v>12</v>
      </c>
      <c r="F30" t="s">
        <v>3644</v>
      </c>
    </row>
    <row r="31" spans="1:6" x14ac:dyDescent="0.3">
      <c r="A31" s="26" t="s">
        <v>3091</v>
      </c>
      <c r="B31" t="s">
        <v>846</v>
      </c>
      <c r="C31">
        <v>12</v>
      </c>
      <c r="D31">
        <v>40</v>
      </c>
      <c r="E31">
        <v>3</v>
      </c>
      <c r="F31" t="s">
        <v>3644</v>
      </c>
    </row>
    <row r="32" spans="1:6" x14ac:dyDescent="0.3">
      <c r="A32" s="26" t="s">
        <v>3092</v>
      </c>
      <c r="B32" t="s">
        <v>847</v>
      </c>
      <c r="C32">
        <v>13</v>
      </c>
      <c r="D32">
        <v>40</v>
      </c>
      <c r="E32">
        <v>6</v>
      </c>
      <c r="F32" t="s">
        <v>3644</v>
      </c>
    </row>
    <row r="33" spans="1:6" x14ac:dyDescent="0.3">
      <c r="A33" s="26" t="s">
        <v>3093</v>
      </c>
      <c r="B33" t="s">
        <v>849</v>
      </c>
      <c r="C33">
        <v>8</v>
      </c>
      <c r="D33">
        <v>41</v>
      </c>
      <c r="E33">
        <v>3</v>
      </c>
      <c r="F33" t="s">
        <v>3644</v>
      </c>
    </row>
    <row r="34" spans="1:6" x14ac:dyDescent="0.3">
      <c r="A34" s="26" t="s">
        <v>3094</v>
      </c>
      <c r="B34" t="s">
        <v>3095</v>
      </c>
      <c r="C34">
        <v>7</v>
      </c>
      <c r="D34">
        <v>30</v>
      </c>
      <c r="E34">
        <v>3</v>
      </c>
      <c r="F34" t="s">
        <v>3643</v>
      </c>
    </row>
    <row r="35" spans="1:6" x14ac:dyDescent="0.3">
      <c r="A35" s="26" t="s">
        <v>1420</v>
      </c>
      <c r="B35" t="s">
        <v>1421</v>
      </c>
      <c r="C35">
        <v>12</v>
      </c>
      <c r="D35">
        <v>40</v>
      </c>
      <c r="E35">
        <v>3</v>
      </c>
      <c r="F35" t="s">
        <v>3644</v>
      </c>
    </row>
    <row r="36" spans="1:6" x14ac:dyDescent="0.3">
      <c r="A36" s="26" t="s">
        <v>1422</v>
      </c>
      <c r="B36" t="s">
        <v>1423</v>
      </c>
      <c r="C36">
        <v>11</v>
      </c>
      <c r="D36">
        <v>37.5</v>
      </c>
      <c r="E36">
        <v>3</v>
      </c>
      <c r="F36" t="s">
        <v>3644</v>
      </c>
    </row>
    <row r="37" spans="1:6" x14ac:dyDescent="0.3">
      <c r="A37" s="26" t="s">
        <v>3096</v>
      </c>
      <c r="B37" t="s">
        <v>852</v>
      </c>
      <c r="C37">
        <v>15.5</v>
      </c>
      <c r="D37">
        <v>40</v>
      </c>
      <c r="E37">
        <v>3</v>
      </c>
      <c r="F37" t="s">
        <v>3644</v>
      </c>
    </row>
    <row r="38" spans="1:6" x14ac:dyDescent="0.3">
      <c r="A38" s="26" t="s">
        <v>3097</v>
      </c>
      <c r="B38" t="s">
        <v>853</v>
      </c>
      <c r="C38">
        <v>8</v>
      </c>
      <c r="D38">
        <v>40</v>
      </c>
      <c r="E38">
        <v>12</v>
      </c>
      <c r="F38" t="s">
        <v>3644</v>
      </c>
    </row>
    <row r="39" spans="1:6" x14ac:dyDescent="0.3">
      <c r="A39" s="26" t="s">
        <v>3098</v>
      </c>
      <c r="B39" t="s">
        <v>747</v>
      </c>
      <c r="C39">
        <v>12.5</v>
      </c>
      <c r="D39">
        <v>40</v>
      </c>
      <c r="E39">
        <v>3</v>
      </c>
      <c r="F39" t="s">
        <v>3644</v>
      </c>
    </row>
    <row r="40" spans="1:6" x14ac:dyDescent="0.3">
      <c r="A40" s="26" t="s">
        <v>3099</v>
      </c>
      <c r="B40" t="s">
        <v>3100</v>
      </c>
      <c r="C40">
        <v>14.5</v>
      </c>
      <c r="D40">
        <v>40</v>
      </c>
      <c r="E40">
        <v>3</v>
      </c>
      <c r="F40" t="s">
        <v>3643</v>
      </c>
    </row>
    <row r="41" spans="1:6" x14ac:dyDescent="0.3">
      <c r="A41" s="26" t="s">
        <v>3101</v>
      </c>
      <c r="B41" t="s">
        <v>3102</v>
      </c>
      <c r="C41">
        <v>12.25</v>
      </c>
      <c r="D41">
        <v>40</v>
      </c>
      <c r="E41">
        <v>3</v>
      </c>
      <c r="F41" t="s">
        <v>3643</v>
      </c>
    </row>
    <row r="42" spans="1:6" x14ac:dyDescent="0.3">
      <c r="A42" s="26" t="s">
        <v>3103</v>
      </c>
      <c r="B42" t="s">
        <v>854</v>
      </c>
      <c r="C42">
        <v>14.5</v>
      </c>
      <c r="D42">
        <v>40</v>
      </c>
      <c r="E42">
        <v>3</v>
      </c>
      <c r="F42" t="s">
        <v>3644</v>
      </c>
    </row>
    <row r="43" spans="1:6" x14ac:dyDescent="0.3">
      <c r="A43" s="26" t="s">
        <v>3104</v>
      </c>
      <c r="B43" t="s">
        <v>855</v>
      </c>
      <c r="C43">
        <v>7</v>
      </c>
      <c r="D43">
        <v>45.5</v>
      </c>
      <c r="E43">
        <v>16</v>
      </c>
      <c r="F43" t="s">
        <v>3644</v>
      </c>
    </row>
    <row r="44" spans="1:6" x14ac:dyDescent="0.3">
      <c r="A44" s="26" t="s">
        <v>3105</v>
      </c>
      <c r="B44" t="s">
        <v>1263</v>
      </c>
      <c r="C44">
        <v>12</v>
      </c>
      <c r="D44">
        <v>40</v>
      </c>
      <c r="E44">
        <v>3</v>
      </c>
      <c r="F44" t="s">
        <v>3644</v>
      </c>
    </row>
    <row r="45" spans="1:6" x14ac:dyDescent="0.3">
      <c r="A45" s="26" t="s">
        <v>3106</v>
      </c>
      <c r="B45" t="s">
        <v>857</v>
      </c>
      <c r="C45">
        <v>12</v>
      </c>
      <c r="D45">
        <v>40</v>
      </c>
      <c r="E45">
        <v>3</v>
      </c>
      <c r="F45" t="s">
        <v>3644</v>
      </c>
    </row>
    <row r="46" spans="1:6" x14ac:dyDescent="0.3">
      <c r="A46" s="26" t="s">
        <v>1424</v>
      </c>
      <c r="B46" t="s">
        <v>1425</v>
      </c>
      <c r="C46">
        <v>8</v>
      </c>
      <c r="D46">
        <v>35</v>
      </c>
      <c r="E46">
        <v>3</v>
      </c>
      <c r="F46" t="s">
        <v>3644</v>
      </c>
    </row>
    <row r="47" spans="1:6" x14ac:dyDescent="0.3">
      <c r="A47" s="26" t="s">
        <v>3107</v>
      </c>
      <c r="B47" t="s">
        <v>860</v>
      </c>
      <c r="C47">
        <v>8</v>
      </c>
      <c r="D47">
        <v>35</v>
      </c>
      <c r="E47">
        <v>3</v>
      </c>
      <c r="F47" t="s">
        <v>3644</v>
      </c>
    </row>
    <row r="48" spans="1:6" x14ac:dyDescent="0.3">
      <c r="A48" s="26" t="s">
        <v>1426</v>
      </c>
      <c r="B48" t="s">
        <v>1322</v>
      </c>
      <c r="C48">
        <v>8</v>
      </c>
      <c r="D48">
        <v>37</v>
      </c>
      <c r="E48">
        <v>4</v>
      </c>
      <c r="F48" t="s">
        <v>3644</v>
      </c>
    </row>
    <row r="49" spans="1:6" x14ac:dyDescent="0.3">
      <c r="A49" s="26" t="s">
        <v>3108</v>
      </c>
      <c r="B49" t="s">
        <v>3109</v>
      </c>
      <c r="C49">
        <v>5</v>
      </c>
      <c r="D49">
        <v>36</v>
      </c>
      <c r="E49">
        <v>3</v>
      </c>
      <c r="F49" t="s">
        <v>3643</v>
      </c>
    </row>
    <row r="50" spans="1:6" x14ac:dyDescent="0.3">
      <c r="A50" s="26" t="s">
        <v>3110</v>
      </c>
      <c r="B50" t="s">
        <v>3111</v>
      </c>
      <c r="C50">
        <v>0</v>
      </c>
      <c r="D50">
        <v>41.5</v>
      </c>
      <c r="E50">
        <v>41</v>
      </c>
      <c r="F50" t="s">
        <v>3643</v>
      </c>
    </row>
    <row r="51" spans="1:6" x14ac:dyDescent="0.3">
      <c r="A51" s="26" t="s">
        <v>1427</v>
      </c>
      <c r="B51" t="s">
        <v>1428</v>
      </c>
      <c r="C51">
        <v>8</v>
      </c>
      <c r="D51">
        <v>42</v>
      </c>
      <c r="E51">
        <v>15</v>
      </c>
      <c r="F51" t="s">
        <v>3644</v>
      </c>
    </row>
    <row r="52" spans="1:6" x14ac:dyDescent="0.3">
      <c r="A52" s="26" t="s">
        <v>3112</v>
      </c>
      <c r="B52" t="s">
        <v>862</v>
      </c>
      <c r="C52">
        <v>6</v>
      </c>
      <c r="D52">
        <v>23</v>
      </c>
      <c r="E52">
        <v>2</v>
      </c>
      <c r="F52" t="s">
        <v>3644</v>
      </c>
    </row>
    <row r="53" spans="1:6" x14ac:dyDescent="0.3">
      <c r="A53" s="26" t="s">
        <v>1429</v>
      </c>
      <c r="B53" t="s">
        <v>1430</v>
      </c>
      <c r="C53">
        <v>7.5</v>
      </c>
      <c r="D53">
        <v>36</v>
      </c>
      <c r="E53">
        <v>54</v>
      </c>
      <c r="F53" t="s">
        <v>3644</v>
      </c>
    </row>
    <row r="54" spans="1:6" x14ac:dyDescent="0.3">
      <c r="A54" s="26" t="s">
        <v>3113</v>
      </c>
      <c r="B54" t="s">
        <v>3114</v>
      </c>
      <c r="C54">
        <v>7.5</v>
      </c>
      <c r="D54">
        <v>35</v>
      </c>
      <c r="E54">
        <v>3</v>
      </c>
      <c r="F54" t="s">
        <v>3643</v>
      </c>
    </row>
    <row r="55" spans="1:6" x14ac:dyDescent="0.3">
      <c r="A55" s="26" t="s">
        <v>3115</v>
      </c>
      <c r="B55" t="s">
        <v>3116</v>
      </c>
      <c r="C55">
        <v>7.5</v>
      </c>
      <c r="D55">
        <v>35</v>
      </c>
      <c r="E55">
        <v>3</v>
      </c>
      <c r="F55" t="s">
        <v>3643</v>
      </c>
    </row>
    <row r="56" spans="1:6" x14ac:dyDescent="0.3">
      <c r="A56" s="26" t="s">
        <v>3117</v>
      </c>
      <c r="B56" t="s">
        <v>868</v>
      </c>
      <c r="C56">
        <v>5.5</v>
      </c>
      <c r="D56">
        <v>43</v>
      </c>
      <c r="E56">
        <v>70</v>
      </c>
      <c r="F56" t="s">
        <v>3644</v>
      </c>
    </row>
    <row r="57" spans="1:6" x14ac:dyDescent="0.3">
      <c r="A57" s="26" t="s">
        <v>1431</v>
      </c>
      <c r="B57" t="s">
        <v>1432</v>
      </c>
      <c r="C57">
        <v>2</v>
      </c>
      <c r="D57">
        <v>41</v>
      </c>
      <c r="E57">
        <v>92</v>
      </c>
      <c r="F57" t="s">
        <v>3644</v>
      </c>
    </row>
    <row r="58" spans="1:6" x14ac:dyDescent="0.3">
      <c r="A58" s="26" t="s">
        <v>3118</v>
      </c>
      <c r="B58" t="s">
        <v>3119</v>
      </c>
      <c r="C58">
        <v>7.5</v>
      </c>
      <c r="D58">
        <v>35</v>
      </c>
      <c r="E58">
        <v>3</v>
      </c>
      <c r="F58" t="s">
        <v>3643</v>
      </c>
    </row>
    <row r="59" spans="1:6" x14ac:dyDescent="0.3">
      <c r="A59" s="26" t="s">
        <v>1433</v>
      </c>
      <c r="B59" t="s">
        <v>1331</v>
      </c>
      <c r="C59">
        <v>1</v>
      </c>
      <c r="D59">
        <v>39</v>
      </c>
      <c r="E59">
        <v>49</v>
      </c>
      <c r="F59" t="s">
        <v>3644</v>
      </c>
    </row>
    <row r="60" spans="1:6" x14ac:dyDescent="0.3">
      <c r="A60" s="26" t="s">
        <v>3120</v>
      </c>
      <c r="B60" t="s">
        <v>3121</v>
      </c>
      <c r="C60">
        <v>19</v>
      </c>
      <c r="D60">
        <v>31</v>
      </c>
      <c r="E60">
        <v>3</v>
      </c>
      <c r="F60" t="s">
        <v>3643</v>
      </c>
    </row>
    <row r="61" spans="1:6" x14ac:dyDescent="0.3">
      <c r="A61" s="26" t="s">
        <v>1434</v>
      </c>
      <c r="B61" t="s">
        <v>1435</v>
      </c>
      <c r="C61">
        <v>5</v>
      </c>
      <c r="D61">
        <v>35</v>
      </c>
      <c r="E61">
        <v>3</v>
      </c>
      <c r="F61" t="s">
        <v>3644</v>
      </c>
    </row>
    <row r="62" spans="1:6" x14ac:dyDescent="0.3">
      <c r="A62" s="26" t="s">
        <v>1436</v>
      </c>
      <c r="B62" t="s">
        <v>1437</v>
      </c>
      <c r="C62">
        <v>5</v>
      </c>
      <c r="D62">
        <v>37.5</v>
      </c>
      <c r="E62">
        <v>5</v>
      </c>
      <c r="F62" t="s">
        <v>3644</v>
      </c>
    </row>
    <row r="63" spans="1:6" x14ac:dyDescent="0.3">
      <c r="A63" s="26" t="s">
        <v>3122</v>
      </c>
      <c r="B63" t="s">
        <v>870</v>
      </c>
      <c r="C63">
        <v>15</v>
      </c>
      <c r="D63">
        <v>35</v>
      </c>
      <c r="E63">
        <v>5</v>
      </c>
      <c r="F63" t="s">
        <v>3644</v>
      </c>
    </row>
    <row r="64" spans="1:6" x14ac:dyDescent="0.3">
      <c r="A64" s="26" t="s">
        <v>3123</v>
      </c>
      <c r="B64" t="s">
        <v>3124</v>
      </c>
      <c r="C64">
        <v>4</v>
      </c>
      <c r="D64">
        <v>35</v>
      </c>
      <c r="E64">
        <v>5</v>
      </c>
      <c r="F64" t="s">
        <v>3643</v>
      </c>
    </row>
    <row r="65" spans="1:6" x14ac:dyDescent="0.3">
      <c r="A65" s="26" t="s">
        <v>1438</v>
      </c>
      <c r="B65" t="s">
        <v>1439</v>
      </c>
      <c r="C65">
        <v>4</v>
      </c>
      <c r="D65">
        <v>28</v>
      </c>
      <c r="E65">
        <v>9</v>
      </c>
      <c r="F65" t="s">
        <v>3644</v>
      </c>
    </row>
    <row r="66" spans="1:6" x14ac:dyDescent="0.3">
      <c r="A66" s="26" t="s">
        <v>1440</v>
      </c>
      <c r="B66" t="s">
        <v>1441</v>
      </c>
      <c r="C66">
        <v>15</v>
      </c>
      <c r="D66">
        <v>40</v>
      </c>
      <c r="E66">
        <v>6</v>
      </c>
      <c r="F66" t="s">
        <v>3644</v>
      </c>
    </row>
    <row r="67" spans="1:6" x14ac:dyDescent="0.3">
      <c r="A67" s="26" t="s">
        <v>3125</v>
      </c>
      <c r="B67" t="s">
        <v>3126</v>
      </c>
      <c r="C67">
        <v>5</v>
      </c>
      <c r="D67">
        <v>38</v>
      </c>
      <c r="E67">
        <v>167</v>
      </c>
      <c r="F67" t="s">
        <v>3643</v>
      </c>
    </row>
    <row r="68" spans="1:6" x14ac:dyDescent="0.3">
      <c r="A68" s="26" t="s">
        <v>3127</v>
      </c>
      <c r="B68" t="s">
        <v>3128</v>
      </c>
      <c r="C68">
        <v>10</v>
      </c>
      <c r="D68">
        <v>30</v>
      </c>
      <c r="E68">
        <v>3</v>
      </c>
      <c r="F68" t="s">
        <v>3643</v>
      </c>
    </row>
    <row r="69" spans="1:6" x14ac:dyDescent="0.3">
      <c r="A69" s="26" t="s">
        <v>3129</v>
      </c>
      <c r="B69" t="s">
        <v>3130</v>
      </c>
      <c r="C69">
        <v>3</v>
      </c>
      <c r="D69">
        <v>33</v>
      </c>
      <c r="E69">
        <v>15</v>
      </c>
      <c r="F69" t="s">
        <v>3643</v>
      </c>
    </row>
    <row r="70" spans="1:6" x14ac:dyDescent="0.3">
      <c r="A70" s="26" t="s">
        <v>3131</v>
      </c>
      <c r="B70" t="s">
        <v>3132</v>
      </c>
      <c r="C70">
        <v>2</v>
      </c>
      <c r="D70">
        <v>40</v>
      </c>
      <c r="E70">
        <v>19</v>
      </c>
      <c r="F70" t="s">
        <v>3643</v>
      </c>
    </row>
    <row r="71" spans="1:6" x14ac:dyDescent="0.3">
      <c r="A71" s="26" t="s">
        <v>3133</v>
      </c>
      <c r="B71" t="s">
        <v>3134</v>
      </c>
      <c r="C71">
        <v>15</v>
      </c>
      <c r="D71">
        <v>25</v>
      </c>
      <c r="E71">
        <v>4</v>
      </c>
      <c r="F71" t="s">
        <v>3643</v>
      </c>
    </row>
    <row r="72" spans="1:6" x14ac:dyDescent="0.3">
      <c r="A72" s="26" t="s">
        <v>3135</v>
      </c>
      <c r="B72" t="s">
        <v>877</v>
      </c>
      <c r="C72">
        <v>-2</v>
      </c>
      <c r="D72">
        <v>39.5</v>
      </c>
      <c r="E72">
        <v>95</v>
      </c>
      <c r="F72" t="s">
        <v>3644</v>
      </c>
    </row>
    <row r="73" spans="1:6" x14ac:dyDescent="0.3">
      <c r="A73" s="26" t="s">
        <v>3136</v>
      </c>
      <c r="B73" t="s">
        <v>3137</v>
      </c>
      <c r="C73">
        <v>8</v>
      </c>
      <c r="D73">
        <v>36</v>
      </c>
      <c r="E73">
        <v>6</v>
      </c>
      <c r="F73" t="s">
        <v>3643</v>
      </c>
    </row>
    <row r="74" spans="1:6" x14ac:dyDescent="0.3">
      <c r="A74" s="26" t="s">
        <v>1442</v>
      </c>
      <c r="B74" t="s">
        <v>930</v>
      </c>
      <c r="C74">
        <v>9.5</v>
      </c>
      <c r="D74">
        <v>35.25</v>
      </c>
      <c r="E74">
        <v>28</v>
      </c>
      <c r="F74" t="s">
        <v>3644</v>
      </c>
    </row>
    <row r="75" spans="1:6" x14ac:dyDescent="0.3">
      <c r="A75" s="26" t="s">
        <v>3138</v>
      </c>
      <c r="B75" t="s">
        <v>3139</v>
      </c>
      <c r="C75">
        <v>7</v>
      </c>
      <c r="D75">
        <v>35</v>
      </c>
      <c r="E75">
        <v>13</v>
      </c>
      <c r="F75" t="s">
        <v>3643</v>
      </c>
    </row>
    <row r="76" spans="1:6" x14ac:dyDescent="0.3">
      <c r="A76" s="26" t="s">
        <v>3140</v>
      </c>
      <c r="B76" t="s">
        <v>3141</v>
      </c>
      <c r="C76">
        <v>6</v>
      </c>
      <c r="D76">
        <v>35</v>
      </c>
      <c r="E76">
        <v>9</v>
      </c>
      <c r="F76" t="s">
        <v>3643</v>
      </c>
    </row>
    <row r="77" spans="1:6" x14ac:dyDescent="0.3">
      <c r="A77" s="26" t="s">
        <v>1443</v>
      </c>
      <c r="B77" t="s">
        <v>1444</v>
      </c>
      <c r="C77">
        <v>5.5</v>
      </c>
      <c r="D77">
        <v>36</v>
      </c>
      <c r="E77">
        <v>20</v>
      </c>
      <c r="F77" t="s">
        <v>3644</v>
      </c>
    </row>
    <row r="78" spans="1:6" x14ac:dyDescent="0.3">
      <c r="A78" s="26" t="s">
        <v>3142</v>
      </c>
      <c r="B78" t="s">
        <v>3143</v>
      </c>
      <c r="C78">
        <v>8.5</v>
      </c>
      <c r="D78">
        <v>37</v>
      </c>
      <c r="E78">
        <v>3</v>
      </c>
      <c r="F78" t="s">
        <v>3643</v>
      </c>
    </row>
    <row r="79" spans="1:6" x14ac:dyDescent="0.3">
      <c r="A79" s="26" t="s">
        <v>1445</v>
      </c>
      <c r="B79" t="s">
        <v>1446</v>
      </c>
      <c r="C79">
        <v>10</v>
      </c>
      <c r="D79">
        <v>35</v>
      </c>
      <c r="E79">
        <v>5</v>
      </c>
      <c r="F79" t="s">
        <v>3644</v>
      </c>
    </row>
    <row r="80" spans="1:6" x14ac:dyDescent="0.3">
      <c r="A80" s="26" t="s">
        <v>1447</v>
      </c>
      <c r="B80" t="s">
        <v>1448</v>
      </c>
      <c r="C80">
        <v>2.5</v>
      </c>
      <c r="D80">
        <v>37.799999999999997</v>
      </c>
      <c r="E80">
        <v>26</v>
      </c>
      <c r="F80" t="s">
        <v>3644</v>
      </c>
    </row>
    <row r="81" spans="1:6" x14ac:dyDescent="0.3">
      <c r="A81" s="26" t="s">
        <v>3144</v>
      </c>
      <c r="B81" t="s">
        <v>3145</v>
      </c>
      <c r="C81">
        <v>5</v>
      </c>
      <c r="D81">
        <v>35</v>
      </c>
      <c r="E81">
        <v>3</v>
      </c>
      <c r="F81" t="s">
        <v>3643</v>
      </c>
    </row>
    <row r="82" spans="1:6" x14ac:dyDescent="0.3">
      <c r="A82" s="26" t="s">
        <v>3146</v>
      </c>
      <c r="B82" t="s">
        <v>3147</v>
      </c>
      <c r="C82">
        <v>7</v>
      </c>
      <c r="D82">
        <v>35</v>
      </c>
      <c r="E82">
        <v>11</v>
      </c>
      <c r="F82" t="s">
        <v>3643</v>
      </c>
    </row>
    <row r="83" spans="1:6" x14ac:dyDescent="0.3">
      <c r="A83" s="26" t="s">
        <v>3148</v>
      </c>
      <c r="B83" t="s">
        <v>3149</v>
      </c>
      <c r="C83">
        <v>3</v>
      </c>
      <c r="D83">
        <v>33</v>
      </c>
      <c r="E83">
        <v>3</v>
      </c>
      <c r="F83" t="s">
        <v>3643</v>
      </c>
    </row>
    <row r="84" spans="1:6" x14ac:dyDescent="0.3">
      <c r="A84" s="26" t="s">
        <v>1449</v>
      </c>
      <c r="B84" t="s">
        <v>1330</v>
      </c>
      <c r="C84">
        <v>9</v>
      </c>
      <c r="D84">
        <v>35</v>
      </c>
      <c r="E84">
        <v>6</v>
      </c>
      <c r="F84" t="s">
        <v>3644</v>
      </c>
    </row>
    <row r="85" spans="1:6" x14ac:dyDescent="0.3">
      <c r="A85" s="26" t="s">
        <v>1450</v>
      </c>
      <c r="B85" t="s">
        <v>1451</v>
      </c>
      <c r="C85">
        <v>5</v>
      </c>
      <c r="D85">
        <v>35</v>
      </c>
      <c r="E85">
        <v>3</v>
      </c>
      <c r="F85" t="s">
        <v>3644</v>
      </c>
    </row>
    <row r="86" spans="1:6" x14ac:dyDescent="0.3">
      <c r="A86" s="26" t="s">
        <v>3150</v>
      </c>
      <c r="B86" t="s">
        <v>3151</v>
      </c>
      <c r="C86">
        <v>2</v>
      </c>
      <c r="D86">
        <v>33</v>
      </c>
      <c r="E86">
        <v>15</v>
      </c>
      <c r="F86" t="s">
        <v>3643</v>
      </c>
    </row>
    <row r="87" spans="1:6" x14ac:dyDescent="0.3">
      <c r="A87" s="26" t="s">
        <v>3152</v>
      </c>
      <c r="B87" t="s">
        <v>3153</v>
      </c>
      <c r="C87">
        <v>13.5</v>
      </c>
      <c r="D87">
        <v>32</v>
      </c>
      <c r="E87">
        <v>19</v>
      </c>
      <c r="F87" t="s">
        <v>3643</v>
      </c>
    </row>
    <row r="88" spans="1:6" x14ac:dyDescent="0.3">
      <c r="A88" s="26" t="s">
        <v>1452</v>
      </c>
      <c r="B88" t="s">
        <v>1453</v>
      </c>
      <c r="C88">
        <v>5.5</v>
      </c>
      <c r="D88">
        <v>32.5</v>
      </c>
      <c r="E88">
        <v>3</v>
      </c>
      <c r="F88" t="s">
        <v>3644</v>
      </c>
    </row>
    <row r="89" spans="1:6" x14ac:dyDescent="0.3">
      <c r="A89" s="26" t="s">
        <v>1454</v>
      </c>
      <c r="B89" t="s">
        <v>1455</v>
      </c>
      <c r="C89">
        <v>0</v>
      </c>
      <c r="D89">
        <v>35</v>
      </c>
      <c r="E89">
        <v>7</v>
      </c>
      <c r="F89" t="s">
        <v>3644</v>
      </c>
    </row>
    <row r="90" spans="1:6" x14ac:dyDescent="0.3">
      <c r="A90" s="26" t="s">
        <v>3154</v>
      </c>
      <c r="B90" t="s">
        <v>3155</v>
      </c>
      <c r="C90">
        <v>-2</v>
      </c>
      <c r="D90">
        <v>33</v>
      </c>
      <c r="E90">
        <v>3</v>
      </c>
      <c r="F90" t="s">
        <v>3643</v>
      </c>
    </row>
    <row r="91" spans="1:6" x14ac:dyDescent="0.3">
      <c r="A91" s="26" t="s">
        <v>1456</v>
      </c>
      <c r="B91" t="s">
        <v>1457</v>
      </c>
      <c r="C91">
        <v>3</v>
      </c>
      <c r="D91">
        <v>35</v>
      </c>
      <c r="E91">
        <v>3</v>
      </c>
      <c r="F91" t="s">
        <v>3644</v>
      </c>
    </row>
    <row r="92" spans="1:6" x14ac:dyDescent="0.3">
      <c r="A92" s="26" t="s">
        <v>3156</v>
      </c>
      <c r="B92" t="s">
        <v>3157</v>
      </c>
      <c r="C92">
        <v>7.5</v>
      </c>
      <c r="D92">
        <v>35</v>
      </c>
      <c r="E92">
        <v>12</v>
      </c>
      <c r="F92" t="s">
        <v>3643</v>
      </c>
    </row>
    <row r="93" spans="1:6" x14ac:dyDescent="0.3">
      <c r="A93" s="26" t="s">
        <v>3158</v>
      </c>
      <c r="B93" t="s">
        <v>3159</v>
      </c>
      <c r="C93">
        <v>7.5</v>
      </c>
      <c r="D93">
        <v>33</v>
      </c>
      <c r="E93">
        <v>6</v>
      </c>
      <c r="F93" t="s">
        <v>3643</v>
      </c>
    </row>
    <row r="94" spans="1:6" x14ac:dyDescent="0.3">
      <c r="A94" s="26" t="s">
        <v>3160</v>
      </c>
      <c r="B94" t="s">
        <v>3161</v>
      </c>
      <c r="C94">
        <v>2</v>
      </c>
      <c r="D94">
        <v>32</v>
      </c>
      <c r="E94">
        <v>20</v>
      </c>
      <c r="F94" t="s">
        <v>3643</v>
      </c>
    </row>
    <row r="95" spans="1:6" x14ac:dyDescent="0.3">
      <c r="A95" s="26" t="s">
        <v>1458</v>
      </c>
      <c r="B95" t="s">
        <v>1459</v>
      </c>
      <c r="C95">
        <v>1.7</v>
      </c>
      <c r="D95">
        <v>40</v>
      </c>
      <c r="E95">
        <v>37</v>
      </c>
      <c r="F95" t="s">
        <v>3644</v>
      </c>
    </row>
    <row r="96" spans="1:6" x14ac:dyDescent="0.3">
      <c r="A96" s="26" t="s">
        <v>1460</v>
      </c>
      <c r="B96" t="s">
        <v>1461</v>
      </c>
      <c r="C96">
        <v>6.25</v>
      </c>
      <c r="D96">
        <v>34</v>
      </c>
      <c r="E96">
        <v>3</v>
      </c>
      <c r="F96" t="s">
        <v>3644</v>
      </c>
    </row>
    <row r="97" spans="1:6" x14ac:dyDescent="0.3">
      <c r="A97" s="26" t="s">
        <v>1462</v>
      </c>
      <c r="B97" t="s">
        <v>1463</v>
      </c>
      <c r="C97">
        <v>6.5</v>
      </c>
      <c r="D97">
        <v>37.5</v>
      </c>
      <c r="E97">
        <v>6</v>
      </c>
      <c r="F97" t="s">
        <v>3644</v>
      </c>
    </row>
    <row r="98" spans="1:6" x14ac:dyDescent="0.3">
      <c r="A98" s="26" t="s">
        <v>1464</v>
      </c>
      <c r="B98" t="s">
        <v>3162</v>
      </c>
      <c r="C98">
        <v>0</v>
      </c>
      <c r="D98">
        <v>30</v>
      </c>
      <c r="E98">
        <v>6</v>
      </c>
      <c r="F98" t="s">
        <v>3643</v>
      </c>
    </row>
    <row r="99" spans="1:6" x14ac:dyDescent="0.3">
      <c r="A99" s="26" t="s">
        <v>3163</v>
      </c>
      <c r="B99" t="s">
        <v>944</v>
      </c>
      <c r="C99">
        <v>0</v>
      </c>
      <c r="D99">
        <v>37.5</v>
      </c>
      <c r="E99">
        <v>54</v>
      </c>
      <c r="F99" t="s">
        <v>3644</v>
      </c>
    </row>
    <row r="100" spans="1:6" x14ac:dyDescent="0.3">
      <c r="A100" s="26" t="s">
        <v>3164</v>
      </c>
      <c r="B100" t="s">
        <v>3165</v>
      </c>
      <c r="C100">
        <v>10</v>
      </c>
      <c r="D100">
        <v>37.5</v>
      </c>
      <c r="E100">
        <v>6</v>
      </c>
      <c r="F100" t="s">
        <v>3643</v>
      </c>
    </row>
    <row r="101" spans="1:6" x14ac:dyDescent="0.3">
      <c r="A101" s="26" t="s">
        <v>3166</v>
      </c>
      <c r="B101" t="s">
        <v>3167</v>
      </c>
      <c r="C101">
        <v>10.5</v>
      </c>
      <c r="D101">
        <v>37.5</v>
      </c>
      <c r="E101">
        <v>10</v>
      </c>
      <c r="F101" t="s">
        <v>3643</v>
      </c>
    </row>
    <row r="102" spans="1:6" x14ac:dyDescent="0.3">
      <c r="A102" s="26" t="s">
        <v>1465</v>
      </c>
      <c r="B102" t="s">
        <v>1466</v>
      </c>
      <c r="C102">
        <v>9</v>
      </c>
      <c r="D102">
        <v>36.5</v>
      </c>
      <c r="E102">
        <v>8</v>
      </c>
      <c r="F102" t="s">
        <v>3644</v>
      </c>
    </row>
    <row r="103" spans="1:6" x14ac:dyDescent="0.3">
      <c r="A103" s="26" t="s">
        <v>3168</v>
      </c>
      <c r="B103" t="s">
        <v>3169</v>
      </c>
      <c r="C103">
        <v>3.5</v>
      </c>
      <c r="D103">
        <v>33</v>
      </c>
      <c r="E103">
        <v>3</v>
      </c>
      <c r="F103" t="s">
        <v>3643</v>
      </c>
    </row>
    <row r="104" spans="1:6" x14ac:dyDescent="0.3">
      <c r="A104" s="26" t="s">
        <v>1467</v>
      </c>
      <c r="B104" t="s">
        <v>1468</v>
      </c>
      <c r="C104">
        <v>0</v>
      </c>
      <c r="D104">
        <v>42</v>
      </c>
      <c r="E104">
        <v>62</v>
      </c>
      <c r="F104" t="s">
        <v>3644</v>
      </c>
    </row>
    <row r="105" spans="1:6" x14ac:dyDescent="0.3">
      <c r="A105" s="26" t="s">
        <v>1469</v>
      </c>
      <c r="B105" t="s">
        <v>1470</v>
      </c>
      <c r="C105">
        <v>10</v>
      </c>
      <c r="D105">
        <v>35</v>
      </c>
      <c r="E105">
        <v>3</v>
      </c>
      <c r="F105" t="s">
        <v>3644</v>
      </c>
    </row>
    <row r="106" spans="1:6" x14ac:dyDescent="0.3">
      <c r="A106" s="26" t="s">
        <v>1471</v>
      </c>
      <c r="B106" t="s">
        <v>1472</v>
      </c>
      <c r="C106">
        <v>6.5</v>
      </c>
      <c r="D106">
        <v>37.5</v>
      </c>
      <c r="E106">
        <v>12</v>
      </c>
      <c r="F106" t="s">
        <v>3644</v>
      </c>
    </row>
    <row r="107" spans="1:6" x14ac:dyDescent="0.3">
      <c r="A107" s="26" t="s">
        <v>3170</v>
      </c>
      <c r="B107" t="s">
        <v>947</v>
      </c>
      <c r="C107">
        <v>4</v>
      </c>
      <c r="D107">
        <v>34.5</v>
      </c>
      <c r="E107">
        <v>28</v>
      </c>
      <c r="F107" t="s">
        <v>3644</v>
      </c>
    </row>
    <row r="108" spans="1:6" x14ac:dyDescent="0.3">
      <c r="A108" s="26" t="s">
        <v>3171</v>
      </c>
      <c r="B108" t="s">
        <v>3172</v>
      </c>
      <c r="C108">
        <v>10</v>
      </c>
      <c r="D108">
        <v>30</v>
      </c>
      <c r="E108">
        <v>6</v>
      </c>
      <c r="F108" t="s">
        <v>3643</v>
      </c>
    </row>
    <row r="109" spans="1:6" x14ac:dyDescent="0.3">
      <c r="A109" s="26" t="s">
        <v>3173</v>
      </c>
      <c r="B109" t="s">
        <v>3174</v>
      </c>
      <c r="C109">
        <v>9</v>
      </c>
      <c r="D109">
        <v>36</v>
      </c>
      <c r="E109">
        <v>3</v>
      </c>
      <c r="F109" t="s">
        <v>3643</v>
      </c>
    </row>
    <row r="110" spans="1:6" x14ac:dyDescent="0.3">
      <c r="A110" s="26" t="s">
        <v>1473</v>
      </c>
      <c r="B110" t="s">
        <v>1336</v>
      </c>
      <c r="C110">
        <v>10</v>
      </c>
      <c r="D110">
        <v>35</v>
      </c>
      <c r="E110">
        <v>13</v>
      </c>
      <c r="F110" t="s">
        <v>3644</v>
      </c>
    </row>
    <row r="111" spans="1:6" x14ac:dyDescent="0.3">
      <c r="A111" s="26" t="s">
        <v>1474</v>
      </c>
      <c r="B111" t="s">
        <v>1475</v>
      </c>
      <c r="C111">
        <v>5</v>
      </c>
      <c r="D111">
        <v>39.5</v>
      </c>
      <c r="E111">
        <v>6</v>
      </c>
      <c r="F111" t="s">
        <v>3644</v>
      </c>
    </row>
    <row r="112" spans="1:6" x14ac:dyDescent="0.3">
      <c r="A112" s="26" t="s">
        <v>3175</v>
      </c>
      <c r="B112" t="s">
        <v>948</v>
      </c>
      <c r="C112">
        <v>3</v>
      </c>
      <c r="D112">
        <v>38</v>
      </c>
      <c r="E112">
        <v>12</v>
      </c>
      <c r="F112" t="s">
        <v>3644</v>
      </c>
    </row>
    <row r="113" spans="1:6" x14ac:dyDescent="0.3">
      <c r="A113" s="26" t="s">
        <v>3176</v>
      </c>
      <c r="B113" t="s">
        <v>3177</v>
      </c>
      <c r="C113">
        <v>2</v>
      </c>
      <c r="D113">
        <v>37</v>
      </c>
      <c r="E113">
        <v>3</v>
      </c>
      <c r="F113" t="s">
        <v>3643</v>
      </c>
    </row>
    <row r="114" spans="1:6" x14ac:dyDescent="0.3">
      <c r="A114" s="26" t="s">
        <v>3178</v>
      </c>
      <c r="B114" t="s">
        <v>3179</v>
      </c>
      <c r="C114">
        <v>8</v>
      </c>
      <c r="D114">
        <v>33</v>
      </c>
      <c r="E114">
        <v>3</v>
      </c>
      <c r="F114" t="s">
        <v>3643</v>
      </c>
    </row>
    <row r="115" spans="1:6" x14ac:dyDescent="0.3">
      <c r="A115" s="26" t="s">
        <v>3180</v>
      </c>
      <c r="B115" t="s">
        <v>3181</v>
      </c>
      <c r="C115">
        <v>-1</v>
      </c>
      <c r="D115">
        <v>26.5</v>
      </c>
      <c r="E115">
        <v>8</v>
      </c>
      <c r="F115" t="s">
        <v>3643</v>
      </c>
    </row>
    <row r="116" spans="1:6" x14ac:dyDescent="0.3">
      <c r="A116" s="26" t="s">
        <v>3182</v>
      </c>
      <c r="B116" t="s">
        <v>1273</v>
      </c>
      <c r="C116">
        <v>6</v>
      </c>
      <c r="D116">
        <v>36</v>
      </c>
      <c r="E116">
        <v>8</v>
      </c>
      <c r="F116" t="s">
        <v>3644</v>
      </c>
    </row>
    <row r="117" spans="1:6" x14ac:dyDescent="0.3">
      <c r="A117" s="26" t="s">
        <v>3183</v>
      </c>
      <c r="B117" t="s">
        <v>955</v>
      </c>
      <c r="C117">
        <v>0.5</v>
      </c>
      <c r="D117">
        <v>26.7</v>
      </c>
      <c r="E117">
        <v>11</v>
      </c>
      <c r="F117" t="s">
        <v>3644</v>
      </c>
    </row>
    <row r="118" spans="1:6" x14ac:dyDescent="0.3">
      <c r="A118" s="26" t="s">
        <v>3184</v>
      </c>
      <c r="B118" t="s">
        <v>958</v>
      </c>
      <c r="C118">
        <v>4.5</v>
      </c>
      <c r="D118">
        <v>38.75</v>
      </c>
      <c r="E118">
        <v>24</v>
      </c>
      <c r="F118" t="s">
        <v>3644</v>
      </c>
    </row>
    <row r="119" spans="1:6" x14ac:dyDescent="0.3">
      <c r="A119" s="26" t="s">
        <v>3185</v>
      </c>
      <c r="B119" t="s">
        <v>3186</v>
      </c>
      <c r="C119">
        <v>0.5</v>
      </c>
      <c r="D119">
        <v>27.5</v>
      </c>
      <c r="E119">
        <v>6</v>
      </c>
      <c r="F119" t="s">
        <v>3643</v>
      </c>
    </row>
    <row r="120" spans="1:6" x14ac:dyDescent="0.3">
      <c r="A120" s="26" t="s">
        <v>3187</v>
      </c>
      <c r="B120" t="s">
        <v>3188</v>
      </c>
      <c r="C120">
        <v>0</v>
      </c>
      <c r="D120">
        <v>20</v>
      </c>
      <c r="E120">
        <v>3</v>
      </c>
      <c r="F120" t="s">
        <v>3643</v>
      </c>
    </row>
    <row r="121" spans="1:6" x14ac:dyDescent="0.3">
      <c r="A121" s="26" t="s">
        <v>1476</v>
      </c>
      <c r="B121" t="s">
        <v>1338</v>
      </c>
      <c r="C121">
        <v>7.5</v>
      </c>
      <c r="D121">
        <v>35</v>
      </c>
      <c r="E121">
        <v>6</v>
      </c>
      <c r="F121" t="s">
        <v>3644</v>
      </c>
    </row>
    <row r="122" spans="1:6" x14ac:dyDescent="0.3">
      <c r="A122" s="26" t="s">
        <v>3189</v>
      </c>
      <c r="B122" t="s">
        <v>3190</v>
      </c>
      <c r="C122">
        <v>7.5</v>
      </c>
      <c r="D122">
        <v>37</v>
      </c>
      <c r="E122">
        <v>9</v>
      </c>
      <c r="F122" t="s">
        <v>3643</v>
      </c>
    </row>
    <row r="123" spans="1:6" x14ac:dyDescent="0.3">
      <c r="A123" s="26" t="s">
        <v>3191</v>
      </c>
      <c r="B123" t="s">
        <v>3192</v>
      </c>
      <c r="C123">
        <v>10</v>
      </c>
      <c r="D123">
        <v>40</v>
      </c>
      <c r="E123">
        <v>6</v>
      </c>
      <c r="F123" t="s">
        <v>3643</v>
      </c>
    </row>
    <row r="124" spans="1:6" x14ac:dyDescent="0.3">
      <c r="A124" s="26" t="s">
        <v>3193</v>
      </c>
      <c r="B124" t="s">
        <v>3194</v>
      </c>
      <c r="C124">
        <v>10</v>
      </c>
      <c r="D124">
        <v>40</v>
      </c>
      <c r="E124">
        <v>6</v>
      </c>
      <c r="F124" t="s">
        <v>3643</v>
      </c>
    </row>
    <row r="125" spans="1:6" x14ac:dyDescent="0.3">
      <c r="A125" s="26" t="s">
        <v>1477</v>
      </c>
      <c r="B125" t="s">
        <v>1478</v>
      </c>
      <c r="C125">
        <v>7</v>
      </c>
      <c r="D125">
        <v>40</v>
      </c>
      <c r="E125">
        <v>19</v>
      </c>
      <c r="F125" t="s">
        <v>3644</v>
      </c>
    </row>
    <row r="126" spans="1:6" x14ac:dyDescent="0.3">
      <c r="A126" s="26" t="s">
        <v>1479</v>
      </c>
      <c r="B126" t="s">
        <v>1395</v>
      </c>
      <c r="C126">
        <v>3</v>
      </c>
      <c r="D126">
        <v>35</v>
      </c>
      <c r="E126">
        <v>3</v>
      </c>
      <c r="F126" t="s">
        <v>3644</v>
      </c>
    </row>
    <row r="127" spans="1:6" x14ac:dyDescent="0.3">
      <c r="A127" s="26" t="s">
        <v>3195</v>
      </c>
      <c r="B127" t="s">
        <v>3196</v>
      </c>
      <c r="C127">
        <v>5</v>
      </c>
      <c r="D127">
        <v>32</v>
      </c>
      <c r="E127">
        <v>30</v>
      </c>
      <c r="F127" t="s">
        <v>3643</v>
      </c>
    </row>
    <row r="128" spans="1:6" x14ac:dyDescent="0.3">
      <c r="A128" s="26" t="s">
        <v>1480</v>
      </c>
      <c r="B128" t="s">
        <v>1339</v>
      </c>
      <c r="C128">
        <v>5</v>
      </c>
      <c r="D128">
        <v>40</v>
      </c>
      <c r="E128">
        <v>14</v>
      </c>
      <c r="F128" t="s">
        <v>3644</v>
      </c>
    </row>
    <row r="129" spans="1:6" x14ac:dyDescent="0.3">
      <c r="A129" s="26" t="s">
        <v>3197</v>
      </c>
      <c r="B129" t="s">
        <v>1394</v>
      </c>
      <c r="C129">
        <v>7.5</v>
      </c>
      <c r="D129">
        <v>37.5</v>
      </c>
      <c r="E129">
        <v>3</v>
      </c>
      <c r="F129" t="s">
        <v>3644</v>
      </c>
    </row>
    <row r="130" spans="1:6" x14ac:dyDescent="0.3">
      <c r="A130" s="26" t="s">
        <v>3198</v>
      </c>
      <c r="B130" t="s">
        <v>3199</v>
      </c>
      <c r="C130">
        <v>4</v>
      </c>
      <c r="D130">
        <v>35</v>
      </c>
      <c r="E130">
        <v>3</v>
      </c>
      <c r="F130" t="s">
        <v>3643</v>
      </c>
    </row>
    <row r="131" spans="1:6" x14ac:dyDescent="0.3">
      <c r="A131" s="26" t="s">
        <v>3200</v>
      </c>
      <c r="B131" t="s">
        <v>383</v>
      </c>
      <c r="C131">
        <v>16</v>
      </c>
      <c r="D131">
        <v>35</v>
      </c>
      <c r="E131">
        <v>3</v>
      </c>
      <c r="F131" t="s">
        <v>3643</v>
      </c>
    </row>
    <row r="132" spans="1:6" x14ac:dyDescent="0.3">
      <c r="A132" s="26" t="s">
        <v>3201</v>
      </c>
      <c r="B132" t="s">
        <v>968</v>
      </c>
      <c r="C132">
        <v>10</v>
      </c>
      <c r="D132">
        <v>44</v>
      </c>
      <c r="E132">
        <v>5</v>
      </c>
      <c r="F132" t="s">
        <v>3644</v>
      </c>
    </row>
    <row r="133" spans="1:6" x14ac:dyDescent="0.3">
      <c r="A133" s="26" t="s">
        <v>3202</v>
      </c>
      <c r="B133" t="s">
        <v>3203</v>
      </c>
      <c r="C133">
        <v>4</v>
      </c>
      <c r="D133">
        <v>35</v>
      </c>
      <c r="E133">
        <v>3</v>
      </c>
      <c r="F133" t="s">
        <v>3643</v>
      </c>
    </row>
    <row r="134" spans="1:6" x14ac:dyDescent="0.3">
      <c r="A134" s="26" t="s">
        <v>1481</v>
      </c>
      <c r="B134" t="s">
        <v>1482</v>
      </c>
      <c r="C134">
        <v>4</v>
      </c>
      <c r="D134">
        <v>40</v>
      </c>
      <c r="E134">
        <v>31</v>
      </c>
      <c r="F134" t="s">
        <v>3644</v>
      </c>
    </row>
    <row r="135" spans="1:6" x14ac:dyDescent="0.3">
      <c r="A135" s="26" t="s">
        <v>1483</v>
      </c>
      <c r="B135" t="s">
        <v>1484</v>
      </c>
      <c r="C135">
        <v>11.75</v>
      </c>
      <c r="D135">
        <v>40.25</v>
      </c>
      <c r="E135">
        <v>6</v>
      </c>
      <c r="F135" t="s">
        <v>3644</v>
      </c>
    </row>
    <row r="136" spans="1:6" x14ac:dyDescent="0.3">
      <c r="A136" s="26" t="s">
        <v>3204</v>
      </c>
      <c r="B136" t="s">
        <v>3205</v>
      </c>
      <c r="C136">
        <v>8</v>
      </c>
      <c r="D136">
        <v>33</v>
      </c>
      <c r="E136">
        <v>4</v>
      </c>
      <c r="F136" t="s">
        <v>3643</v>
      </c>
    </row>
    <row r="137" spans="1:6" x14ac:dyDescent="0.3">
      <c r="A137" s="26" t="s">
        <v>3206</v>
      </c>
      <c r="B137" t="s">
        <v>3207</v>
      </c>
      <c r="C137">
        <v>4</v>
      </c>
      <c r="D137">
        <v>38</v>
      </c>
      <c r="E137">
        <v>3</v>
      </c>
      <c r="F137" t="s">
        <v>3643</v>
      </c>
    </row>
    <row r="138" spans="1:6" x14ac:dyDescent="0.3">
      <c r="A138" s="26" t="s">
        <v>3208</v>
      </c>
      <c r="B138" t="s">
        <v>3209</v>
      </c>
      <c r="C138">
        <v>2</v>
      </c>
      <c r="D138">
        <v>19.5</v>
      </c>
      <c r="E138">
        <v>6</v>
      </c>
      <c r="F138" t="s">
        <v>3643</v>
      </c>
    </row>
    <row r="139" spans="1:6" x14ac:dyDescent="0.3">
      <c r="A139" s="26" t="s">
        <v>3210</v>
      </c>
      <c r="B139" t="s">
        <v>3211</v>
      </c>
      <c r="C139">
        <v>2</v>
      </c>
      <c r="D139">
        <v>28</v>
      </c>
      <c r="E139">
        <v>2</v>
      </c>
      <c r="F139" t="s">
        <v>3643</v>
      </c>
    </row>
    <row r="140" spans="1:6" x14ac:dyDescent="0.3">
      <c r="A140" s="26" t="s">
        <v>3212</v>
      </c>
      <c r="B140" t="s">
        <v>3213</v>
      </c>
      <c r="C140">
        <v>3</v>
      </c>
      <c r="D140">
        <v>34</v>
      </c>
      <c r="E140">
        <v>3</v>
      </c>
      <c r="F140" t="s">
        <v>3643</v>
      </c>
    </row>
    <row r="141" spans="1:6" x14ac:dyDescent="0.3">
      <c r="A141" s="26" t="s">
        <v>3214</v>
      </c>
      <c r="B141" t="s">
        <v>3215</v>
      </c>
      <c r="C141">
        <v>4.5</v>
      </c>
      <c r="D141">
        <v>32</v>
      </c>
      <c r="E141">
        <v>6</v>
      </c>
      <c r="F141" t="s">
        <v>3643</v>
      </c>
    </row>
    <row r="142" spans="1:6" x14ac:dyDescent="0.3">
      <c r="A142" s="26" t="s">
        <v>1485</v>
      </c>
      <c r="B142" t="s">
        <v>1486</v>
      </c>
      <c r="C142">
        <v>0</v>
      </c>
      <c r="D142">
        <v>35</v>
      </c>
      <c r="E142">
        <v>8</v>
      </c>
      <c r="F142" t="s">
        <v>3644</v>
      </c>
    </row>
    <row r="143" spans="1:6" x14ac:dyDescent="0.3">
      <c r="A143" s="26" t="s">
        <v>1487</v>
      </c>
      <c r="B143" t="s">
        <v>1488</v>
      </c>
      <c r="C143">
        <v>0</v>
      </c>
      <c r="D143">
        <v>35</v>
      </c>
      <c r="E143">
        <v>11</v>
      </c>
      <c r="F143" t="s">
        <v>3644</v>
      </c>
    </row>
    <row r="144" spans="1:6" x14ac:dyDescent="0.3">
      <c r="A144" s="26" t="s">
        <v>1489</v>
      </c>
      <c r="B144" t="s">
        <v>1490</v>
      </c>
      <c r="C144">
        <v>0</v>
      </c>
      <c r="D144">
        <v>35</v>
      </c>
      <c r="E144">
        <v>8</v>
      </c>
      <c r="F144" t="s">
        <v>3644</v>
      </c>
    </row>
    <row r="145" spans="1:6" x14ac:dyDescent="0.3">
      <c r="A145" s="26" t="s">
        <v>3216</v>
      </c>
      <c r="B145" t="s">
        <v>3217</v>
      </c>
      <c r="C145">
        <v>4</v>
      </c>
      <c r="D145">
        <v>32</v>
      </c>
      <c r="E145">
        <v>9</v>
      </c>
      <c r="F145" t="s">
        <v>3643</v>
      </c>
    </row>
    <row r="146" spans="1:6" x14ac:dyDescent="0.3">
      <c r="A146" s="26" t="s">
        <v>3218</v>
      </c>
      <c r="B146" t="s">
        <v>3219</v>
      </c>
      <c r="C146">
        <v>7.2</v>
      </c>
      <c r="D146">
        <v>31.1</v>
      </c>
      <c r="E146">
        <v>6</v>
      </c>
      <c r="F146" t="s">
        <v>3643</v>
      </c>
    </row>
    <row r="147" spans="1:6" x14ac:dyDescent="0.3">
      <c r="A147" s="26" t="s">
        <v>3220</v>
      </c>
      <c r="B147" t="s">
        <v>1010</v>
      </c>
      <c r="C147">
        <v>2</v>
      </c>
      <c r="D147">
        <v>38</v>
      </c>
      <c r="E147">
        <v>11</v>
      </c>
      <c r="F147" t="s">
        <v>3644</v>
      </c>
    </row>
    <row r="148" spans="1:6" x14ac:dyDescent="0.3">
      <c r="A148" s="26" t="s">
        <v>3221</v>
      </c>
      <c r="B148" t="s">
        <v>3222</v>
      </c>
      <c r="C148">
        <v>10.5</v>
      </c>
      <c r="D148">
        <v>41.5</v>
      </c>
      <c r="E148">
        <v>4</v>
      </c>
      <c r="F148" t="s">
        <v>3643</v>
      </c>
    </row>
    <row r="149" spans="1:6" x14ac:dyDescent="0.3">
      <c r="A149" s="26" t="s">
        <v>1491</v>
      </c>
      <c r="B149" t="s">
        <v>1492</v>
      </c>
      <c r="C149">
        <v>10</v>
      </c>
      <c r="D149">
        <v>30</v>
      </c>
      <c r="E149">
        <v>3</v>
      </c>
      <c r="F149" t="s">
        <v>3644</v>
      </c>
    </row>
    <row r="150" spans="1:6" x14ac:dyDescent="0.3">
      <c r="A150" s="26" t="s">
        <v>3223</v>
      </c>
      <c r="B150" t="s">
        <v>3224</v>
      </c>
      <c r="C150">
        <v>6</v>
      </c>
      <c r="D150">
        <v>38</v>
      </c>
      <c r="E150">
        <v>9</v>
      </c>
      <c r="F150" t="s">
        <v>3643</v>
      </c>
    </row>
    <row r="151" spans="1:6" x14ac:dyDescent="0.3">
      <c r="A151" s="26" t="s">
        <v>3225</v>
      </c>
      <c r="B151" t="s">
        <v>3226</v>
      </c>
      <c r="C151">
        <v>3</v>
      </c>
      <c r="D151">
        <v>35</v>
      </c>
      <c r="E151">
        <v>5</v>
      </c>
      <c r="F151" t="s">
        <v>3643</v>
      </c>
    </row>
    <row r="152" spans="1:6" x14ac:dyDescent="0.3">
      <c r="A152" s="26" t="s">
        <v>3227</v>
      </c>
      <c r="B152" t="s">
        <v>3228</v>
      </c>
      <c r="C152">
        <v>7.5</v>
      </c>
      <c r="D152">
        <v>35</v>
      </c>
      <c r="E152">
        <v>3</v>
      </c>
      <c r="F152" t="s">
        <v>3643</v>
      </c>
    </row>
    <row r="153" spans="1:6" x14ac:dyDescent="0.3">
      <c r="A153" s="26" t="s">
        <v>3229</v>
      </c>
      <c r="B153" t="s">
        <v>3230</v>
      </c>
      <c r="C153">
        <v>4</v>
      </c>
      <c r="D153">
        <v>32</v>
      </c>
      <c r="E153">
        <v>21</v>
      </c>
      <c r="F153" t="s">
        <v>3643</v>
      </c>
    </row>
    <row r="154" spans="1:6" x14ac:dyDescent="0.3">
      <c r="A154" s="26" t="s">
        <v>1493</v>
      </c>
      <c r="B154" t="s">
        <v>1494</v>
      </c>
      <c r="C154">
        <v>4</v>
      </c>
      <c r="D154">
        <v>30</v>
      </c>
      <c r="E154">
        <v>3</v>
      </c>
      <c r="F154" t="s">
        <v>3644</v>
      </c>
    </row>
    <row r="155" spans="1:6" x14ac:dyDescent="0.3">
      <c r="A155" s="26" t="s">
        <v>3231</v>
      </c>
      <c r="B155" t="s">
        <v>3232</v>
      </c>
      <c r="C155">
        <v>21.5</v>
      </c>
      <c r="D155">
        <v>33.5</v>
      </c>
      <c r="E155">
        <v>4</v>
      </c>
      <c r="F155" t="s">
        <v>3643</v>
      </c>
    </row>
    <row r="156" spans="1:6" x14ac:dyDescent="0.3">
      <c r="A156" s="26" t="s">
        <v>1495</v>
      </c>
      <c r="B156" t="s">
        <v>1496</v>
      </c>
      <c r="C156">
        <v>0</v>
      </c>
      <c r="D156">
        <v>36</v>
      </c>
      <c r="E156">
        <v>8</v>
      </c>
      <c r="F156" t="s">
        <v>3644</v>
      </c>
    </row>
    <row r="157" spans="1:6" x14ac:dyDescent="0.3">
      <c r="A157" s="26" t="s">
        <v>3233</v>
      </c>
      <c r="B157" t="s">
        <v>3234</v>
      </c>
      <c r="C157">
        <v>3</v>
      </c>
      <c r="D157">
        <v>26.25</v>
      </c>
      <c r="E157">
        <v>4</v>
      </c>
      <c r="F157" t="s">
        <v>3643</v>
      </c>
    </row>
    <row r="158" spans="1:6" x14ac:dyDescent="0.3">
      <c r="A158" s="26" t="s">
        <v>3235</v>
      </c>
      <c r="B158" t="s">
        <v>3236</v>
      </c>
      <c r="C158">
        <v>7</v>
      </c>
      <c r="D158">
        <v>38.75</v>
      </c>
      <c r="E158">
        <v>12</v>
      </c>
      <c r="F158" t="s">
        <v>3643</v>
      </c>
    </row>
    <row r="159" spans="1:6" x14ac:dyDescent="0.3">
      <c r="A159" s="26" t="s">
        <v>1497</v>
      </c>
      <c r="B159" t="s">
        <v>1498</v>
      </c>
      <c r="C159">
        <v>8.5</v>
      </c>
      <c r="D159">
        <v>32</v>
      </c>
      <c r="E159">
        <v>3</v>
      </c>
      <c r="F159" t="s">
        <v>3644</v>
      </c>
    </row>
    <row r="160" spans="1:6" x14ac:dyDescent="0.3">
      <c r="A160" s="26" t="s">
        <v>3237</v>
      </c>
      <c r="B160" t="s">
        <v>3238</v>
      </c>
      <c r="C160">
        <v>7</v>
      </c>
      <c r="D160">
        <v>38.75</v>
      </c>
      <c r="E160">
        <v>6</v>
      </c>
      <c r="F160" t="s">
        <v>3643</v>
      </c>
    </row>
    <row r="161" spans="1:6" x14ac:dyDescent="0.3">
      <c r="A161" s="26" t="s">
        <v>3239</v>
      </c>
      <c r="B161" t="s">
        <v>3240</v>
      </c>
      <c r="C161">
        <v>4</v>
      </c>
      <c r="D161">
        <v>28</v>
      </c>
      <c r="E161">
        <v>3</v>
      </c>
      <c r="F161" t="s">
        <v>3643</v>
      </c>
    </row>
    <row r="162" spans="1:6" x14ac:dyDescent="0.3">
      <c r="A162" s="26" t="s">
        <v>1499</v>
      </c>
      <c r="B162" t="s">
        <v>1500</v>
      </c>
      <c r="C162">
        <v>3</v>
      </c>
      <c r="D162">
        <v>38</v>
      </c>
      <c r="E162">
        <v>21</v>
      </c>
      <c r="F162" t="s">
        <v>3644</v>
      </c>
    </row>
    <row r="163" spans="1:6" x14ac:dyDescent="0.3">
      <c r="A163" s="26" t="s">
        <v>1501</v>
      </c>
      <c r="B163" t="s">
        <v>1502</v>
      </c>
      <c r="C163">
        <v>8.5</v>
      </c>
      <c r="D163">
        <v>40</v>
      </c>
      <c r="E163">
        <v>8</v>
      </c>
      <c r="F163" t="s">
        <v>3644</v>
      </c>
    </row>
    <row r="164" spans="1:6" x14ac:dyDescent="0.3">
      <c r="A164" s="26" t="s">
        <v>1503</v>
      </c>
      <c r="B164" t="s">
        <v>1391</v>
      </c>
      <c r="C164">
        <v>10</v>
      </c>
      <c r="D164">
        <v>37.799999999999997</v>
      </c>
      <c r="E164">
        <v>6</v>
      </c>
      <c r="F164" t="s">
        <v>3644</v>
      </c>
    </row>
    <row r="165" spans="1:6" x14ac:dyDescent="0.3">
      <c r="A165" s="26" t="s">
        <v>3241</v>
      </c>
      <c r="B165" t="s">
        <v>3242</v>
      </c>
      <c r="C165">
        <v>10</v>
      </c>
      <c r="D165">
        <v>32.5</v>
      </c>
      <c r="E165">
        <v>27</v>
      </c>
      <c r="F165" t="s">
        <v>3643</v>
      </c>
    </row>
    <row r="166" spans="1:6" x14ac:dyDescent="0.3">
      <c r="A166" s="26" t="s">
        <v>3243</v>
      </c>
      <c r="B166" t="s">
        <v>3244</v>
      </c>
      <c r="C166">
        <v>7.5</v>
      </c>
      <c r="D166">
        <v>35</v>
      </c>
      <c r="E166">
        <v>3</v>
      </c>
      <c r="F166" t="s">
        <v>3643</v>
      </c>
    </row>
    <row r="167" spans="1:6" x14ac:dyDescent="0.3">
      <c r="A167" s="26" t="s">
        <v>1504</v>
      </c>
      <c r="B167" t="s">
        <v>1341</v>
      </c>
      <c r="C167">
        <v>7.5</v>
      </c>
      <c r="D167">
        <v>35</v>
      </c>
      <c r="E167">
        <v>24</v>
      </c>
      <c r="F167" t="s">
        <v>3644</v>
      </c>
    </row>
    <row r="168" spans="1:6" x14ac:dyDescent="0.3">
      <c r="A168" s="26" t="s">
        <v>3245</v>
      </c>
      <c r="B168" t="s">
        <v>3246</v>
      </c>
      <c r="C168">
        <v>5</v>
      </c>
      <c r="D168">
        <v>45</v>
      </c>
      <c r="E168">
        <v>6</v>
      </c>
      <c r="F168" t="s">
        <v>3643</v>
      </c>
    </row>
    <row r="169" spans="1:6" x14ac:dyDescent="0.3">
      <c r="A169" s="26" t="s">
        <v>3247</v>
      </c>
      <c r="B169" t="s">
        <v>987</v>
      </c>
      <c r="C169">
        <v>10</v>
      </c>
      <c r="D169">
        <v>35</v>
      </c>
      <c r="E169">
        <v>3</v>
      </c>
      <c r="F169" t="s">
        <v>3644</v>
      </c>
    </row>
    <row r="170" spans="1:6" x14ac:dyDescent="0.3">
      <c r="A170" s="26" t="s">
        <v>3248</v>
      </c>
      <c r="B170" t="s">
        <v>3249</v>
      </c>
      <c r="C170">
        <v>6.5</v>
      </c>
      <c r="D170">
        <v>37</v>
      </c>
      <c r="E170">
        <v>3</v>
      </c>
      <c r="F170" t="s">
        <v>3643</v>
      </c>
    </row>
    <row r="171" spans="1:6" x14ac:dyDescent="0.3">
      <c r="A171" s="26" t="s">
        <v>1505</v>
      </c>
      <c r="B171" t="s">
        <v>1506</v>
      </c>
      <c r="C171">
        <v>8</v>
      </c>
      <c r="D171">
        <v>38</v>
      </c>
      <c r="E171">
        <v>12</v>
      </c>
      <c r="F171" t="s">
        <v>3644</v>
      </c>
    </row>
    <row r="172" spans="1:6" x14ac:dyDescent="0.3">
      <c r="A172" s="26" t="s">
        <v>3250</v>
      </c>
      <c r="B172" t="s">
        <v>990</v>
      </c>
      <c r="C172">
        <v>0.5</v>
      </c>
      <c r="D172">
        <v>35</v>
      </c>
      <c r="E172">
        <v>44</v>
      </c>
      <c r="F172" t="s">
        <v>3644</v>
      </c>
    </row>
    <row r="173" spans="1:6" x14ac:dyDescent="0.3">
      <c r="A173" s="26" t="s">
        <v>1507</v>
      </c>
      <c r="B173" t="s">
        <v>1508</v>
      </c>
      <c r="C173">
        <v>5</v>
      </c>
      <c r="D173">
        <v>37.5</v>
      </c>
      <c r="E173">
        <v>18</v>
      </c>
      <c r="F173" t="s">
        <v>3644</v>
      </c>
    </row>
    <row r="174" spans="1:6" x14ac:dyDescent="0.3">
      <c r="A174" s="26" t="s">
        <v>3251</v>
      </c>
      <c r="B174" t="s">
        <v>383</v>
      </c>
      <c r="C174">
        <v>5</v>
      </c>
      <c r="D174">
        <v>37.5</v>
      </c>
      <c r="E174">
        <v>2</v>
      </c>
      <c r="F174" t="s">
        <v>3643</v>
      </c>
    </row>
    <row r="175" spans="1:6" x14ac:dyDescent="0.3">
      <c r="A175" s="26" t="s">
        <v>1509</v>
      </c>
      <c r="B175" t="s">
        <v>1510</v>
      </c>
      <c r="C175">
        <v>3</v>
      </c>
      <c r="D175">
        <v>33</v>
      </c>
      <c r="E175">
        <v>6</v>
      </c>
      <c r="F175" t="s">
        <v>3644</v>
      </c>
    </row>
    <row r="176" spans="1:6" x14ac:dyDescent="0.3">
      <c r="A176" s="26" t="s">
        <v>3252</v>
      </c>
      <c r="B176" t="s">
        <v>383</v>
      </c>
      <c r="C176">
        <v>17</v>
      </c>
      <c r="D176">
        <v>37</v>
      </c>
      <c r="E176">
        <v>4</v>
      </c>
      <c r="F176" t="s">
        <v>3643</v>
      </c>
    </row>
    <row r="177" spans="1:6" x14ac:dyDescent="0.3">
      <c r="A177" s="26" t="s">
        <v>1511</v>
      </c>
      <c r="B177" t="s">
        <v>1512</v>
      </c>
      <c r="C177">
        <v>5</v>
      </c>
      <c r="D177">
        <v>37.5</v>
      </c>
      <c r="E177">
        <v>2</v>
      </c>
      <c r="F177" t="s">
        <v>3644</v>
      </c>
    </row>
    <row r="178" spans="1:6" x14ac:dyDescent="0.3">
      <c r="A178" s="26" t="s">
        <v>3253</v>
      </c>
      <c r="B178" t="s">
        <v>3254</v>
      </c>
      <c r="C178">
        <v>3</v>
      </c>
      <c r="D178">
        <v>33</v>
      </c>
      <c r="E178">
        <v>4</v>
      </c>
      <c r="F178" t="s">
        <v>3643</v>
      </c>
    </row>
    <row r="179" spans="1:6" x14ac:dyDescent="0.3">
      <c r="A179" s="26" t="s">
        <v>1513</v>
      </c>
      <c r="B179" t="s">
        <v>1514</v>
      </c>
      <c r="C179">
        <v>-10</v>
      </c>
      <c r="D179">
        <v>38</v>
      </c>
      <c r="E179">
        <v>28</v>
      </c>
      <c r="F179" t="s">
        <v>3644</v>
      </c>
    </row>
    <row r="180" spans="1:6" x14ac:dyDescent="0.3">
      <c r="A180" s="26" t="s">
        <v>3255</v>
      </c>
      <c r="B180" t="s">
        <v>3256</v>
      </c>
      <c r="C180">
        <v>0</v>
      </c>
      <c r="D180">
        <v>38</v>
      </c>
      <c r="E180">
        <v>20</v>
      </c>
      <c r="F180" t="s">
        <v>3643</v>
      </c>
    </row>
    <row r="181" spans="1:6" x14ac:dyDescent="0.3">
      <c r="A181" s="26" t="s">
        <v>3257</v>
      </c>
      <c r="B181" t="s">
        <v>3258</v>
      </c>
      <c r="C181">
        <v>17</v>
      </c>
      <c r="D181">
        <v>32</v>
      </c>
      <c r="E181">
        <v>6</v>
      </c>
      <c r="F181" t="s">
        <v>3643</v>
      </c>
    </row>
    <row r="182" spans="1:6" x14ac:dyDescent="0.3">
      <c r="A182" s="26" t="s">
        <v>1515</v>
      </c>
      <c r="B182" t="s">
        <v>1516</v>
      </c>
      <c r="C182">
        <v>5</v>
      </c>
      <c r="D182">
        <v>35.75</v>
      </c>
      <c r="E182">
        <v>4</v>
      </c>
      <c r="F182" t="s">
        <v>3644</v>
      </c>
    </row>
    <row r="183" spans="1:6" x14ac:dyDescent="0.3">
      <c r="A183" s="26" t="s">
        <v>1517</v>
      </c>
      <c r="B183" t="s">
        <v>1518</v>
      </c>
      <c r="C183">
        <v>5</v>
      </c>
      <c r="D183">
        <v>37.5</v>
      </c>
      <c r="E183">
        <v>6</v>
      </c>
      <c r="F183" t="s">
        <v>3644</v>
      </c>
    </row>
    <row r="184" spans="1:6" x14ac:dyDescent="0.3">
      <c r="A184" s="26" t="s">
        <v>3259</v>
      </c>
      <c r="B184" t="s">
        <v>383</v>
      </c>
      <c r="C184">
        <v>5</v>
      </c>
      <c r="D184">
        <v>34</v>
      </c>
      <c r="E184">
        <v>2</v>
      </c>
      <c r="F184" t="s">
        <v>3643</v>
      </c>
    </row>
    <row r="185" spans="1:6" x14ac:dyDescent="0.3">
      <c r="A185" s="26" t="s">
        <v>1519</v>
      </c>
      <c r="B185" t="s">
        <v>1344</v>
      </c>
      <c r="C185">
        <v>0.5</v>
      </c>
      <c r="D185">
        <v>38</v>
      </c>
      <c r="E185">
        <v>60</v>
      </c>
      <c r="F185" t="s">
        <v>3644</v>
      </c>
    </row>
    <row r="186" spans="1:6" x14ac:dyDescent="0.3">
      <c r="A186" s="26" t="s">
        <v>3260</v>
      </c>
      <c r="B186" t="s">
        <v>3261</v>
      </c>
      <c r="C186">
        <v>5</v>
      </c>
      <c r="D186">
        <v>35.75</v>
      </c>
      <c r="E186">
        <v>2</v>
      </c>
      <c r="F186" t="s">
        <v>3643</v>
      </c>
    </row>
    <row r="187" spans="1:6" x14ac:dyDescent="0.3">
      <c r="A187" s="26" t="s">
        <v>3262</v>
      </c>
      <c r="B187" t="s">
        <v>383</v>
      </c>
      <c r="C187">
        <v>5</v>
      </c>
      <c r="D187">
        <v>35.75</v>
      </c>
      <c r="E187">
        <v>2</v>
      </c>
      <c r="F187" t="s">
        <v>3643</v>
      </c>
    </row>
    <row r="188" spans="1:6" x14ac:dyDescent="0.3">
      <c r="A188" s="26" t="s">
        <v>3263</v>
      </c>
      <c r="B188" t="s">
        <v>992</v>
      </c>
      <c r="C188">
        <v>5</v>
      </c>
      <c r="D188">
        <v>37.5</v>
      </c>
      <c r="E188">
        <v>6</v>
      </c>
      <c r="F188" t="s">
        <v>3644</v>
      </c>
    </row>
    <row r="189" spans="1:6" x14ac:dyDescent="0.3">
      <c r="A189" s="26" t="s">
        <v>3264</v>
      </c>
      <c r="B189" t="s">
        <v>3265</v>
      </c>
      <c r="C189">
        <v>5</v>
      </c>
      <c r="D189">
        <v>34</v>
      </c>
      <c r="E189">
        <v>4</v>
      </c>
      <c r="F189" t="s">
        <v>3643</v>
      </c>
    </row>
    <row r="190" spans="1:6" x14ac:dyDescent="0.3">
      <c r="A190" s="26" t="s">
        <v>1520</v>
      </c>
      <c r="B190" t="s">
        <v>1521</v>
      </c>
      <c r="C190">
        <v>5</v>
      </c>
      <c r="D190">
        <v>35.75</v>
      </c>
      <c r="E190">
        <v>2</v>
      </c>
      <c r="F190" t="s">
        <v>3644</v>
      </c>
    </row>
    <row r="191" spans="1:6" x14ac:dyDescent="0.3">
      <c r="A191" s="26" t="s">
        <v>3266</v>
      </c>
      <c r="B191" t="s">
        <v>993</v>
      </c>
      <c r="C191">
        <v>3</v>
      </c>
      <c r="D191">
        <v>40</v>
      </c>
      <c r="E191">
        <v>94</v>
      </c>
      <c r="F191" t="s">
        <v>3644</v>
      </c>
    </row>
    <row r="192" spans="1:6" x14ac:dyDescent="0.3">
      <c r="A192" s="26" t="s">
        <v>3267</v>
      </c>
      <c r="B192" t="s">
        <v>383</v>
      </c>
      <c r="C192">
        <v>5</v>
      </c>
      <c r="D192">
        <v>37.5</v>
      </c>
      <c r="E192">
        <v>2</v>
      </c>
      <c r="F192" t="s">
        <v>3643</v>
      </c>
    </row>
    <row r="193" spans="1:6" x14ac:dyDescent="0.3">
      <c r="A193" s="26" t="s">
        <v>3268</v>
      </c>
      <c r="B193" t="s">
        <v>3269</v>
      </c>
      <c r="C193">
        <v>5</v>
      </c>
      <c r="D193">
        <v>37.5</v>
      </c>
      <c r="E193">
        <v>11</v>
      </c>
      <c r="F193" t="s">
        <v>3643</v>
      </c>
    </row>
    <row r="194" spans="1:6" x14ac:dyDescent="0.3">
      <c r="A194" s="26" t="s">
        <v>3270</v>
      </c>
      <c r="B194" t="s">
        <v>994</v>
      </c>
      <c r="C194">
        <v>3</v>
      </c>
      <c r="D194">
        <v>39</v>
      </c>
      <c r="E194">
        <v>149</v>
      </c>
      <c r="F194" t="s">
        <v>3644</v>
      </c>
    </row>
    <row r="195" spans="1:6" x14ac:dyDescent="0.3">
      <c r="A195" s="26" t="s">
        <v>1522</v>
      </c>
      <c r="B195" t="s">
        <v>1523</v>
      </c>
      <c r="C195">
        <v>5</v>
      </c>
      <c r="D195">
        <v>37.5</v>
      </c>
      <c r="E195">
        <v>7</v>
      </c>
      <c r="F195" t="s">
        <v>3644</v>
      </c>
    </row>
    <row r="196" spans="1:6" x14ac:dyDescent="0.3">
      <c r="A196" s="26" t="s">
        <v>3271</v>
      </c>
      <c r="B196" t="s">
        <v>383</v>
      </c>
      <c r="C196">
        <v>5</v>
      </c>
      <c r="D196">
        <v>37.5</v>
      </c>
      <c r="E196">
        <v>4</v>
      </c>
      <c r="F196" t="s">
        <v>3643</v>
      </c>
    </row>
    <row r="197" spans="1:6" x14ac:dyDescent="0.3">
      <c r="A197" s="26" t="s">
        <v>3272</v>
      </c>
      <c r="B197" t="s">
        <v>996</v>
      </c>
      <c r="C197">
        <v>5</v>
      </c>
      <c r="D197">
        <v>37.5</v>
      </c>
      <c r="E197">
        <v>43</v>
      </c>
      <c r="F197" t="s">
        <v>3644</v>
      </c>
    </row>
    <row r="198" spans="1:6" x14ac:dyDescent="0.3">
      <c r="A198" s="26" t="s">
        <v>1524</v>
      </c>
      <c r="B198" t="s">
        <v>1525</v>
      </c>
      <c r="C198">
        <v>5</v>
      </c>
      <c r="D198">
        <v>35.75</v>
      </c>
      <c r="E198">
        <v>38</v>
      </c>
      <c r="F198" t="s">
        <v>3644</v>
      </c>
    </row>
    <row r="199" spans="1:6" x14ac:dyDescent="0.3">
      <c r="A199" s="26" t="s">
        <v>3273</v>
      </c>
      <c r="B199" t="s">
        <v>995</v>
      </c>
      <c r="C199">
        <v>5</v>
      </c>
      <c r="D199">
        <v>37.5</v>
      </c>
      <c r="E199">
        <v>6</v>
      </c>
      <c r="F199" t="s">
        <v>3644</v>
      </c>
    </row>
    <row r="200" spans="1:6" x14ac:dyDescent="0.3">
      <c r="A200" s="26" t="s">
        <v>1526</v>
      </c>
      <c r="B200" t="s">
        <v>1345</v>
      </c>
      <c r="C200">
        <v>5</v>
      </c>
      <c r="D200">
        <v>37.5</v>
      </c>
      <c r="E200">
        <v>2</v>
      </c>
      <c r="F200" t="s">
        <v>3644</v>
      </c>
    </row>
    <row r="201" spans="1:6" x14ac:dyDescent="0.3">
      <c r="A201" s="26" t="s">
        <v>3274</v>
      </c>
      <c r="B201" t="s">
        <v>383</v>
      </c>
      <c r="C201">
        <v>19</v>
      </c>
      <c r="D201">
        <v>35</v>
      </c>
      <c r="E201">
        <v>2</v>
      </c>
      <c r="F201" t="s">
        <v>3643</v>
      </c>
    </row>
    <row r="202" spans="1:6" x14ac:dyDescent="0.3">
      <c r="A202" s="26" t="s">
        <v>3275</v>
      </c>
      <c r="B202" t="s">
        <v>3276</v>
      </c>
      <c r="C202">
        <v>5</v>
      </c>
      <c r="D202">
        <v>35.75</v>
      </c>
      <c r="E202">
        <v>2</v>
      </c>
      <c r="F202" t="s">
        <v>3643</v>
      </c>
    </row>
    <row r="203" spans="1:6" x14ac:dyDescent="0.3">
      <c r="A203" s="26" t="s">
        <v>3277</v>
      </c>
      <c r="B203" t="s">
        <v>3278</v>
      </c>
      <c r="C203">
        <v>5</v>
      </c>
      <c r="D203">
        <v>35.75</v>
      </c>
      <c r="E203">
        <v>2</v>
      </c>
      <c r="F203" t="s">
        <v>3643</v>
      </c>
    </row>
    <row r="204" spans="1:6" x14ac:dyDescent="0.3">
      <c r="A204" s="26" t="s">
        <v>3279</v>
      </c>
      <c r="B204" t="s">
        <v>998</v>
      </c>
      <c r="C204">
        <v>3</v>
      </c>
      <c r="D204">
        <v>40</v>
      </c>
      <c r="E204">
        <v>842</v>
      </c>
      <c r="F204" t="s">
        <v>3644</v>
      </c>
    </row>
    <row r="205" spans="1:6" x14ac:dyDescent="0.3">
      <c r="A205" s="26" t="s">
        <v>3280</v>
      </c>
      <c r="B205" t="s">
        <v>3281</v>
      </c>
      <c r="C205">
        <v>5</v>
      </c>
      <c r="D205">
        <v>37.5</v>
      </c>
      <c r="E205">
        <v>12</v>
      </c>
      <c r="F205" t="s">
        <v>3643</v>
      </c>
    </row>
    <row r="206" spans="1:6" x14ac:dyDescent="0.3">
      <c r="A206" s="26" t="s">
        <v>3282</v>
      </c>
      <c r="B206" t="s">
        <v>1000</v>
      </c>
      <c r="C206">
        <v>5</v>
      </c>
      <c r="D206">
        <v>37</v>
      </c>
      <c r="E206">
        <v>13</v>
      </c>
      <c r="F206" t="s">
        <v>3644</v>
      </c>
    </row>
    <row r="207" spans="1:6" x14ac:dyDescent="0.3">
      <c r="A207" s="26" t="s">
        <v>3283</v>
      </c>
      <c r="B207" t="s">
        <v>383</v>
      </c>
      <c r="C207">
        <v>5</v>
      </c>
      <c r="D207">
        <v>34</v>
      </c>
      <c r="E207">
        <v>2</v>
      </c>
      <c r="F207" t="s">
        <v>3643</v>
      </c>
    </row>
    <row r="208" spans="1:6" x14ac:dyDescent="0.3">
      <c r="A208" s="26" t="s">
        <v>3284</v>
      </c>
      <c r="B208" t="s">
        <v>1347</v>
      </c>
      <c r="C208">
        <v>5</v>
      </c>
      <c r="D208">
        <v>37.5</v>
      </c>
      <c r="E208">
        <v>7</v>
      </c>
      <c r="F208" t="s">
        <v>3644</v>
      </c>
    </row>
    <row r="209" spans="1:6" x14ac:dyDescent="0.3">
      <c r="A209" s="26" t="s">
        <v>1527</v>
      </c>
      <c r="B209" t="s">
        <v>1528</v>
      </c>
      <c r="C209">
        <v>0</v>
      </c>
      <c r="D209">
        <v>38</v>
      </c>
      <c r="E209">
        <v>29</v>
      </c>
      <c r="F209" t="s">
        <v>3644</v>
      </c>
    </row>
    <row r="210" spans="1:6" x14ac:dyDescent="0.3">
      <c r="A210" s="26" t="s">
        <v>3285</v>
      </c>
      <c r="B210" t="s">
        <v>383</v>
      </c>
      <c r="C210">
        <v>19</v>
      </c>
      <c r="D210">
        <v>35</v>
      </c>
      <c r="E210">
        <v>2</v>
      </c>
      <c r="F210" t="s">
        <v>3643</v>
      </c>
    </row>
    <row r="211" spans="1:6" x14ac:dyDescent="0.3">
      <c r="A211" s="26" t="s">
        <v>3286</v>
      </c>
      <c r="B211" t="s">
        <v>1004</v>
      </c>
      <c r="C211">
        <v>3</v>
      </c>
      <c r="D211">
        <v>33</v>
      </c>
      <c r="E211">
        <v>6</v>
      </c>
      <c r="F211" t="s">
        <v>3644</v>
      </c>
    </row>
    <row r="212" spans="1:6" x14ac:dyDescent="0.3">
      <c r="A212" s="26" t="s">
        <v>3287</v>
      </c>
      <c r="B212" t="s">
        <v>1528</v>
      </c>
      <c r="C212">
        <v>5</v>
      </c>
      <c r="D212">
        <v>34</v>
      </c>
      <c r="E212">
        <v>6</v>
      </c>
      <c r="F212" t="s">
        <v>3644</v>
      </c>
    </row>
    <row r="213" spans="1:6" x14ac:dyDescent="0.3">
      <c r="A213" s="26" t="s">
        <v>3288</v>
      </c>
      <c r="B213" t="s">
        <v>3289</v>
      </c>
      <c r="C213">
        <v>2</v>
      </c>
      <c r="D213">
        <v>37.5</v>
      </c>
      <c r="E213">
        <v>40</v>
      </c>
      <c r="F213" t="s">
        <v>3643</v>
      </c>
    </row>
    <row r="214" spans="1:6" x14ac:dyDescent="0.3">
      <c r="A214" s="26" t="s">
        <v>3290</v>
      </c>
      <c r="B214" t="s">
        <v>1005</v>
      </c>
      <c r="C214">
        <v>0</v>
      </c>
      <c r="D214">
        <v>38</v>
      </c>
      <c r="E214">
        <v>37</v>
      </c>
      <c r="F214" t="s">
        <v>3644</v>
      </c>
    </row>
    <row r="215" spans="1:6" x14ac:dyDescent="0.3">
      <c r="A215" s="26" t="s">
        <v>3291</v>
      </c>
      <c r="B215" t="s">
        <v>3292</v>
      </c>
      <c r="C215">
        <v>5</v>
      </c>
      <c r="D215">
        <v>34</v>
      </c>
      <c r="E215">
        <v>2</v>
      </c>
      <c r="F215" t="s">
        <v>3643</v>
      </c>
    </row>
    <row r="216" spans="1:6" x14ac:dyDescent="0.3">
      <c r="A216" s="26" t="s">
        <v>1529</v>
      </c>
      <c r="B216" t="s">
        <v>1530</v>
      </c>
      <c r="C216">
        <v>2.5</v>
      </c>
      <c r="D216">
        <v>35</v>
      </c>
      <c r="E216">
        <v>54</v>
      </c>
      <c r="F216" t="s">
        <v>3644</v>
      </c>
    </row>
    <row r="217" spans="1:6" x14ac:dyDescent="0.3">
      <c r="A217" s="26" t="s">
        <v>3293</v>
      </c>
      <c r="B217" t="s">
        <v>3294</v>
      </c>
      <c r="C217">
        <v>10</v>
      </c>
      <c r="D217">
        <v>38</v>
      </c>
      <c r="E217">
        <v>14</v>
      </c>
      <c r="F217" t="s">
        <v>3643</v>
      </c>
    </row>
    <row r="218" spans="1:6" x14ac:dyDescent="0.3">
      <c r="A218" s="26" t="s">
        <v>3295</v>
      </c>
      <c r="B218" t="s">
        <v>1006</v>
      </c>
      <c r="C218">
        <v>9</v>
      </c>
      <c r="D218">
        <v>46</v>
      </c>
      <c r="E218">
        <v>10</v>
      </c>
      <c r="F218" t="s">
        <v>3644</v>
      </c>
    </row>
    <row r="219" spans="1:6" x14ac:dyDescent="0.3">
      <c r="A219" s="26" t="s">
        <v>1531</v>
      </c>
      <c r="B219" t="s">
        <v>1532</v>
      </c>
      <c r="C219">
        <v>3</v>
      </c>
      <c r="D219">
        <v>37.5</v>
      </c>
      <c r="E219">
        <v>33</v>
      </c>
      <c r="F219" t="s">
        <v>3644</v>
      </c>
    </row>
    <row r="220" spans="1:6" x14ac:dyDescent="0.3">
      <c r="A220" s="26" t="s">
        <v>1533</v>
      </c>
      <c r="B220" t="s">
        <v>1534</v>
      </c>
      <c r="C220">
        <v>10</v>
      </c>
      <c r="D220">
        <v>37.5</v>
      </c>
      <c r="E220">
        <v>3</v>
      </c>
      <c r="F220" t="s">
        <v>3644</v>
      </c>
    </row>
    <row r="221" spans="1:6" x14ac:dyDescent="0.3">
      <c r="A221" s="26" t="s">
        <v>1535</v>
      </c>
      <c r="B221" t="s">
        <v>1536</v>
      </c>
      <c r="C221">
        <v>2</v>
      </c>
      <c r="D221">
        <v>41.8</v>
      </c>
      <c r="E221">
        <v>24</v>
      </c>
      <c r="F221" t="s">
        <v>3644</v>
      </c>
    </row>
    <row r="222" spans="1:6" x14ac:dyDescent="0.3">
      <c r="A222" s="26" t="s">
        <v>3296</v>
      </c>
      <c r="B222" t="s">
        <v>3297</v>
      </c>
      <c r="C222">
        <v>0</v>
      </c>
      <c r="D222">
        <v>30</v>
      </c>
      <c r="E222">
        <v>3</v>
      </c>
      <c r="F222" t="s">
        <v>3643</v>
      </c>
    </row>
    <row r="223" spans="1:6" x14ac:dyDescent="0.3">
      <c r="A223" s="26" t="s">
        <v>3298</v>
      </c>
      <c r="B223" t="s">
        <v>3299</v>
      </c>
      <c r="C223">
        <v>10</v>
      </c>
      <c r="D223">
        <v>30</v>
      </c>
      <c r="E223">
        <v>3</v>
      </c>
      <c r="F223" t="s">
        <v>3643</v>
      </c>
    </row>
    <row r="224" spans="1:6" x14ac:dyDescent="0.3">
      <c r="A224" s="26" t="s">
        <v>3300</v>
      </c>
      <c r="B224" t="s">
        <v>3301</v>
      </c>
      <c r="C224">
        <v>16</v>
      </c>
      <c r="D224">
        <v>38</v>
      </c>
      <c r="E224">
        <v>3</v>
      </c>
      <c r="F224" t="s">
        <v>3643</v>
      </c>
    </row>
    <row r="225" spans="1:6" x14ac:dyDescent="0.3">
      <c r="A225" s="26" t="s">
        <v>3302</v>
      </c>
      <c r="B225" t="s">
        <v>3303</v>
      </c>
      <c r="C225">
        <v>5</v>
      </c>
      <c r="D225">
        <v>45</v>
      </c>
      <c r="E225">
        <v>13</v>
      </c>
      <c r="F225" t="s">
        <v>3643</v>
      </c>
    </row>
    <row r="226" spans="1:6" x14ac:dyDescent="0.3">
      <c r="A226" s="26" t="s">
        <v>3304</v>
      </c>
      <c r="B226" t="s">
        <v>3305</v>
      </c>
      <c r="C226">
        <v>4</v>
      </c>
      <c r="D226">
        <v>35</v>
      </c>
      <c r="E226">
        <v>3</v>
      </c>
      <c r="F226" t="s">
        <v>3643</v>
      </c>
    </row>
    <row r="227" spans="1:6" x14ac:dyDescent="0.3">
      <c r="A227" s="26" t="s">
        <v>3306</v>
      </c>
      <c r="B227" t="s">
        <v>1015</v>
      </c>
      <c r="C227">
        <v>5</v>
      </c>
      <c r="D227">
        <v>46</v>
      </c>
      <c r="E227">
        <v>7</v>
      </c>
      <c r="F227" t="s">
        <v>3644</v>
      </c>
    </row>
    <row r="228" spans="1:6" x14ac:dyDescent="0.3">
      <c r="A228" s="26" t="s">
        <v>3307</v>
      </c>
      <c r="B228" t="s">
        <v>3308</v>
      </c>
      <c r="C228">
        <v>6.5</v>
      </c>
      <c r="D228">
        <v>37.5</v>
      </c>
      <c r="E228">
        <v>6</v>
      </c>
      <c r="F228" t="s">
        <v>3643</v>
      </c>
    </row>
    <row r="229" spans="1:6" x14ac:dyDescent="0.3">
      <c r="A229" s="26" t="s">
        <v>3309</v>
      </c>
      <c r="B229" t="s">
        <v>3310</v>
      </c>
      <c r="C229">
        <v>5.5</v>
      </c>
      <c r="D229">
        <v>32.5</v>
      </c>
      <c r="E229">
        <v>6</v>
      </c>
      <c r="F229" t="s">
        <v>3643</v>
      </c>
    </row>
    <row r="230" spans="1:6" x14ac:dyDescent="0.3">
      <c r="A230" s="26" t="s">
        <v>3311</v>
      </c>
      <c r="B230" t="s">
        <v>3312</v>
      </c>
      <c r="C230">
        <v>10.5</v>
      </c>
      <c r="D230">
        <v>38</v>
      </c>
      <c r="E230">
        <v>6</v>
      </c>
      <c r="F230" t="s">
        <v>3643</v>
      </c>
    </row>
    <row r="231" spans="1:6" x14ac:dyDescent="0.3">
      <c r="A231" s="26" t="s">
        <v>3313</v>
      </c>
      <c r="B231" t="s">
        <v>3314</v>
      </c>
      <c r="C231">
        <v>5.5</v>
      </c>
      <c r="D231">
        <v>32</v>
      </c>
      <c r="E231">
        <v>9</v>
      </c>
      <c r="F231" t="s">
        <v>3643</v>
      </c>
    </row>
    <row r="232" spans="1:6" x14ac:dyDescent="0.3">
      <c r="A232" s="26" t="s">
        <v>3315</v>
      </c>
      <c r="B232" t="s">
        <v>383</v>
      </c>
      <c r="C232">
        <v>3</v>
      </c>
      <c r="D232">
        <v>32.5</v>
      </c>
      <c r="E232">
        <v>5</v>
      </c>
      <c r="F232" t="s">
        <v>3643</v>
      </c>
    </row>
    <row r="233" spans="1:6" x14ac:dyDescent="0.3">
      <c r="A233" s="26" t="s">
        <v>3316</v>
      </c>
      <c r="B233" t="s">
        <v>3317</v>
      </c>
      <c r="C233">
        <v>11</v>
      </c>
      <c r="D233">
        <v>32</v>
      </c>
      <c r="E233">
        <v>6</v>
      </c>
      <c r="F233" t="s">
        <v>3643</v>
      </c>
    </row>
    <row r="234" spans="1:6" x14ac:dyDescent="0.3">
      <c r="A234" s="26" t="s">
        <v>3318</v>
      </c>
      <c r="B234" t="s">
        <v>383</v>
      </c>
      <c r="C234">
        <v>5</v>
      </c>
      <c r="D234">
        <v>35</v>
      </c>
      <c r="E234">
        <v>6</v>
      </c>
      <c r="F234" t="s">
        <v>3643</v>
      </c>
    </row>
    <row r="235" spans="1:6" x14ac:dyDescent="0.3">
      <c r="A235" s="26" t="s">
        <v>3319</v>
      </c>
      <c r="B235" t="s">
        <v>383</v>
      </c>
      <c r="C235">
        <v>6.5</v>
      </c>
      <c r="D235">
        <v>36</v>
      </c>
      <c r="E235">
        <v>14</v>
      </c>
      <c r="F235" t="s">
        <v>3643</v>
      </c>
    </row>
    <row r="236" spans="1:6" x14ac:dyDescent="0.3">
      <c r="A236" s="26" t="s">
        <v>3320</v>
      </c>
      <c r="B236" t="s">
        <v>3321</v>
      </c>
      <c r="C236">
        <v>10</v>
      </c>
      <c r="D236">
        <v>35</v>
      </c>
      <c r="E236">
        <v>3</v>
      </c>
      <c r="F236" t="s">
        <v>3643</v>
      </c>
    </row>
    <row r="237" spans="1:6" x14ac:dyDescent="0.3">
      <c r="A237" s="26" t="s">
        <v>3322</v>
      </c>
      <c r="B237" t="s">
        <v>3323</v>
      </c>
      <c r="C237">
        <v>4</v>
      </c>
      <c r="D237">
        <v>32</v>
      </c>
      <c r="E237">
        <v>17</v>
      </c>
      <c r="F237" t="s">
        <v>3643</v>
      </c>
    </row>
    <row r="238" spans="1:6" x14ac:dyDescent="0.3">
      <c r="A238" s="26" t="s">
        <v>3324</v>
      </c>
      <c r="B238" t="s">
        <v>3325</v>
      </c>
      <c r="C238">
        <v>4</v>
      </c>
      <c r="D238">
        <v>32</v>
      </c>
      <c r="E238">
        <v>12</v>
      </c>
      <c r="F238" t="s">
        <v>3643</v>
      </c>
    </row>
    <row r="239" spans="1:6" x14ac:dyDescent="0.3">
      <c r="A239" s="26" t="s">
        <v>3326</v>
      </c>
      <c r="B239" t="s">
        <v>3327</v>
      </c>
      <c r="C239">
        <v>4</v>
      </c>
      <c r="D239">
        <v>32</v>
      </c>
      <c r="E239">
        <v>19</v>
      </c>
      <c r="F239" t="s">
        <v>3643</v>
      </c>
    </row>
    <row r="240" spans="1:6" x14ac:dyDescent="0.3">
      <c r="A240" s="26" t="s">
        <v>3328</v>
      </c>
      <c r="B240" t="s">
        <v>3329</v>
      </c>
      <c r="C240">
        <v>7</v>
      </c>
      <c r="D240">
        <v>30</v>
      </c>
      <c r="E240">
        <v>4</v>
      </c>
      <c r="F240" t="s">
        <v>3643</v>
      </c>
    </row>
    <row r="241" spans="1:6" x14ac:dyDescent="0.3">
      <c r="A241" s="26" t="s">
        <v>3330</v>
      </c>
      <c r="B241" t="s">
        <v>3331</v>
      </c>
      <c r="C241">
        <v>10</v>
      </c>
      <c r="D241">
        <v>37</v>
      </c>
      <c r="E241">
        <v>3</v>
      </c>
      <c r="F241" t="s">
        <v>3643</v>
      </c>
    </row>
    <row r="242" spans="1:6" x14ac:dyDescent="0.3">
      <c r="A242" s="26" t="s">
        <v>1537</v>
      </c>
      <c r="B242" t="s">
        <v>1538</v>
      </c>
      <c r="C242">
        <v>3</v>
      </c>
      <c r="D242">
        <v>30</v>
      </c>
      <c r="E242">
        <v>7</v>
      </c>
      <c r="F242" t="s">
        <v>3644</v>
      </c>
    </row>
    <row r="243" spans="1:6" x14ac:dyDescent="0.3">
      <c r="A243" s="26" t="s">
        <v>3332</v>
      </c>
      <c r="B243" t="s">
        <v>3333</v>
      </c>
      <c r="C243">
        <v>4</v>
      </c>
      <c r="D243">
        <v>35</v>
      </c>
      <c r="E243">
        <v>6</v>
      </c>
      <c r="F243" t="s">
        <v>3643</v>
      </c>
    </row>
    <row r="244" spans="1:6" x14ac:dyDescent="0.3">
      <c r="A244" s="26" t="s">
        <v>3334</v>
      </c>
      <c r="B244" t="s">
        <v>3335</v>
      </c>
      <c r="C244">
        <v>-3</v>
      </c>
      <c r="D244">
        <v>24</v>
      </c>
      <c r="E244">
        <v>3</v>
      </c>
      <c r="F244" t="s">
        <v>3643</v>
      </c>
    </row>
    <row r="245" spans="1:6" x14ac:dyDescent="0.3">
      <c r="A245" s="26" t="s">
        <v>3336</v>
      </c>
      <c r="B245" t="s">
        <v>1022</v>
      </c>
      <c r="C245">
        <v>8</v>
      </c>
      <c r="D245">
        <v>44</v>
      </c>
      <c r="E245">
        <v>9</v>
      </c>
      <c r="F245" t="s">
        <v>3644</v>
      </c>
    </row>
    <row r="246" spans="1:6" x14ac:dyDescent="0.3">
      <c r="A246" s="26" t="s">
        <v>3337</v>
      </c>
      <c r="B246" t="s">
        <v>3338</v>
      </c>
      <c r="C246">
        <v>18</v>
      </c>
      <c r="D246">
        <v>47</v>
      </c>
      <c r="E246">
        <v>4</v>
      </c>
      <c r="F246" t="s">
        <v>3643</v>
      </c>
    </row>
    <row r="247" spans="1:6" x14ac:dyDescent="0.3">
      <c r="A247" s="26" t="s">
        <v>3339</v>
      </c>
      <c r="B247" t="s">
        <v>3340</v>
      </c>
      <c r="C247">
        <v>0</v>
      </c>
      <c r="D247">
        <v>32</v>
      </c>
      <c r="E247">
        <v>10</v>
      </c>
      <c r="F247" t="s">
        <v>3643</v>
      </c>
    </row>
    <row r="248" spans="1:6" x14ac:dyDescent="0.3">
      <c r="A248" s="26" t="s">
        <v>3341</v>
      </c>
      <c r="B248" t="s">
        <v>3342</v>
      </c>
      <c r="C248">
        <v>6</v>
      </c>
      <c r="D248">
        <v>29.5</v>
      </c>
      <c r="E248">
        <v>6</v>
      </c>
      <c r="F248" t="s">
        <v>3643</v>
      </c>
    </row>
    <row r="249" spans="1:6" x14ac:dyDescent="0.3">
      <c r="A249" s="26" t="s">
        <v>1539</v>
      </c>
      <c r="B249" t="s">
        <v>1540</v>
      </c>
      <c r="C249">
        <v>8</v>
      </c>
      <c r="D249">
        <v>32</v>
      </c>
      <c r="E249">
        <v>6</v>
      </c>
      <c r="F249" t="s">
        <v>3644</v>
      </c>
    </row>
    <row r="250" spans="1:6" x14ac:dyDescent="0.3">
      <c r="A250" s="26" t="s">
        <v>1541</v>
      </c>
      <c r="B250" t="s">
        <v>1542</v>
      </c>
      <c r="C250">
        <v>3</v>
      </c>
      <c r="D250">
        <v>28</v>
      </c>
      <c r="E250">
        <v>3</v>
      </c>
      <c r="F250" t="s">
        <v>3644</v>
      </c>
    </row>
    <row r="251" spans="1:6" x14ac:dyDescent="0.3">
      <c r="A251" s="26" t="s">
        <v>1543</v>
      </c>
      <c r="B251" t="s">
        <v>1544</v>
      </c>
      <c r="C251">
        <v>3</v>
      </c>
      <c r="D251">
        <v>28</v>
      </c>
      <c r="E251">
        <v>3</v>
      </c>
      <c r="F251" t="s">
        <v>3644</v>
      </c>
    </row>
    <row r="252" spans="1:6" x14ac:dyDescent="0.3">
      <c r="A252" s="26" t="s">
        <v>3343</v>
      </c>
      <c r="B252" t="s">
        <v>3344</v>
      </c>
      <c r="C252">
        <v>7</v>
      </c>
      <c r="D252">
        <v>40</v>
      </c>
      <c r="E252">
        <v>3</v>
      </c>
      <c r="F252" t="s">
        <v>3643</v>
      </c>
    </row>
    <row r="253" spans="1:6" x14ac:dyDescent="0.3">
      <c r="A253" s="26" t="s">
        <v>3345</v>
      </c>
      <c r="B253" t="s">
        <v>3346</v>
      </c>
      <c r="C253">
        <v>9</v>
      </c>
      <c r="D253">
        <v>40</v>
      </c>
      <c r="E253">
        <v>3</v>
      </c>
      <c r="F253" t="s">
        <v>3643</v>
      </c>
    </row>
    <row r="254" spans="1:6" x14ac:dyDescent="0.3">
      <c r="A254" s="26" t="s">
        <v>3347</v>
      </c>
      <c r="B254" t="s">
        <v>3348</v>
      </c>
      <c r="C254">
        <v>4</v>
      </c>
      <c r="D254">
        <v>30</v>
      </c>
      <c r="E254">
        <v>3</v>
      </c>
      <c r="F254" t="s">
        <v>3643</v>
      </c>
    </row>
    <row r="255" spans="1:6" x14ac:dyDescent="0.3">
      <c r="A255" s="26" t="s">
        <v>3349</v>
      </c>
      <c r="B255" t="s">
        <v>3350</v>
      </c>
      <c r="C255">
        <v>4</v>
      </c>
      <c r="D255">
        <v>35</v>
      </c>
      <c r="E255">
        <v>3</v>
      </c>
      <c r="F255" t="s">
        <v>3643</v>
      </c>
    </row>
    <row r="256" spans="1:6" x14ac:dyDescent="0.3">
      <c r="A256" s="26" t="s">
        <v>3351</v>
      </c>
      <c r="B256" t="s">
        <v>3352</v>
      </c>
      <c r="C256">
        <v>7</v>
      </c>
      <c r="D256">
        <v>36</v>
      </c>
      <c r="E256">
        <v>12</v>
      </c>
      <c r="F256" t="s">
        <v>3643</v>
      </c>
    </row>
    <row r="257" spans="1:6" x14ac:dyDescent="0.3">
      <c r="A257" s="26" t="s">
        <v>3353</v>
      </c>
      <c r="B257" t="s">
        <v>3354</v>
      </c>
      <c r="C257">
        <v>4</v>
      </c>
      <c r="D257">
        <v>32</v>
      </c>
      <c r="E257">
        <v>9</v>
      </c>
      <c r="F257" t="s">
        <v>3643</v>
      </c>
    </row>
    <row r="258" spans="1:6" x14ac:dyDescent="0.3">
      <c r="A258" s="26" t="s">
        <v>3355</v>
      </c>
      <c r="B258" t="s">
        <v>1042</v>
      </c>
      <c r="C258">
        <v>10.5</v>
      </c>
      <c r="D258">
        <v>40</v>
      </c>
      <c r="E258">
        <v>8</v>
      </c>
      <c r="F258" t="s">
        <v>3644</v>
      </c>
    </row>
    <row r="259" spans="1:6" x14ac:dyDescent="0.3">
      <c r="A259" s="26" t="s">
        <v>3356</v>
      </c>
      <c r="B259" t="s">
        <v>1272</v>
      </c>
      <c r="C259">
        <v>8.4</v>
      </c>
      <c r="D259">
        <v>38.5</v>
      </c>
      <c r="E259">
        <v>21</v>
      </c>
      <c r="F259" t="s">
        <v>3644</v>
      </c>
    </row>
    <row r="260" spans="1:6" x14ac:dyDescent="0.3">
      <c r="A260" s="26" t="s">
        <v>3357</v>
      </c>
      <c r="B260" t="s">
        <v>3358</v>
      </c>
      <c r="C260">
        <v>15</v>
      </c>
      <c r="D260">
        <v>45</v>
      </c>
      <c r="E260">
        <v>3</v>
      </c>
      <c r="F260" t="s">
        <v>3643</v>
      </c>
    </row>
    <row r="261" spans="1:6" x14ac:dyDescent="0.3">
      <c r="A261" s="26" t="s">
        <v>3359</v>
      </c>
      <c r="B261" t="s">
        <v>1352</v>
      </c>
      <c r="C261">
        <v>7</v>
      </c>
      <c r="D261">
        <v>43</v>
      </c>
      <c r="E261">
        <v>3</v>
      </c>
      <c r="F261" t="s">
        <v>3644</v>
      </c>
    </row>
    <row r="262" spans="1:6" x14ac:dyDescent="0.3">
      <c r="A262" s="26" t="s">
        <v>1545</v>
      </c>
      <c r="B262" t="s">
        <v>1546</v>
      </c>
      <c r="C262">
        <v>4</v>
      </c>
      <c r="D262">
        <v>40</v>
      </c>
      <c r="E262">
        <v>6</v>
      </c>
      <c r="F262" t="s">
        <v>3644</v>
      </c>
    </row>
    <row r="263" spans="1:6" x14ac:dyDescent="0.3">
      <c r="A263" s="26" t="s">
        <v>3360</v>
      </c>
      <c r="B263" t="s">
        <v>383</v>
      </c>
      <c r="C263">
        <v>3</v>
      </c>
      <c r="D263">
        <v>43</v>
      </c>
      <c r="E263">
        <v>3</v>
      </c>
      <c r="F263" t="s">
        <v>3643</v>
      </c>
    </row>
    <row r="264" spans="1:6" x14ac:dyDescent="0.3">
      <c r="A264" s="26" t="s">
        <v>3361</v>
      </c>
      <c r="B264" t="s">
        <v>3362</v>
      </c>
      <c r="C264">
        <v>4</v>
      </c>
      <c r="D264">
        <v>35</v>
      </c>
      <c r="E264">
        <v>3</v>
      </c>
      <c r="F264" t="s">
        <v>3643</v>
      </c>
    </row>
    <row r="265" spans="1:6" x14ac:dyDescent="0.3">
      <c r="A265" s="26" t="s">
        <v>1547</v>
      </c>
      <c r="B265" t="s">
        <v>1548</v>
      </c>
      <c r="C265">
        <v>2</v>
      </c>
      <c r="D265">
        <v>36</v>
      </c>
      <c r="E265">
        <v>6</v>
      </c>
      <c r="F265" t="s">
        <v>3644</v>
      </c>
    </row>
    <row r="266" spans="1:6" x14ac:dyDescent="0.3">
      <c r="A266" s="26" t="s">
        <v>3363</v>
      </c>
      <c r="B266" t="s">
        <v>3364</v>
      </c>
      <c r="C266">
        <v>2</v>
      </c>
      <c r="D266">
        <v>29</v>
      </c>
      <c r="E266">
        <v>6</v>
      </c>
      <c r="F266" t="s">
        <v>3643</v>
      </c>
    </row>
    <row r="267" spans="1:6" x14ac:dyDescent="0.3">
      <c r="A267" s="26" t="s">
        <v>3365</v>
      </c>
      <c r="B267" t="s">
        <v>1353</v>
      </c>
      <c r="C267">
        <v>8</v>
      </c>
      <c r="D267">
        <v>42</v>
      </c>
      <c r="E267">
        <v>13</v>
      </c>
      <c r="F267" t="s">
        <v>3644</v>
      </c>
    </row>
    <row r="268" spans="1:6" x14ac:dyDescent="0.3">
      <c r="A268" s="26" t="s">
        <v>3366</v>
      </c>
      <c r="B268" t="s">
        <v>3367</v>
      </c>
      <c r="C268">
        <v>2.5</v>
      </c>
      <c r="D268">
        <v>30.5</v>
      </c>
      <c r="E268">
        <v>6</v>
      </c>
      <c r="F268" t="s">
        <v>3643</v>
      </c>
    </row>
    <row r="269" spans="1:6" x14ac:dyDescent="0.3">
      <c r="A269" s="26" t="s">
        <v>1549</v>
      </c>
      <c r="B269" t="s">
        <v>1550</v>
      </c>
      <c r="C269">
        <v>0.5</v>
      </c>
      <c r="D269">
        <v>30</v>
      </c>
      <c r="E269">
        <v>17</v>
      </c>
      <c r="F269" t="s">
        <v>3644</v>
      </c>
    </row>
    <row r="270" spans="1:6" x14ac:dyDescent="0.3">
      <c r="A270" s="26" t="s">
        <v>3368</v>
      </c>
      <c r="B270" t="s">
        <v>3369</v>
      </c>
      <c r="C270">
        <v>7</v>
      </c>
      <c r="D270">
        <v>38.75</v>
      </c>
      <c r="E270">
        <v>9</v>
      </c>
      <c r="F270" t="s">
        <v>3643</v>
      </c>
    </row>
    <row r="271" spans="1:6" x14ac:dyDescent="0.3">
      <c r="A271" s="26" t="s">
        <v>3370</v>
      </c>
      <c r="B271" t="s">
        <v>1299</v>
      </c>
      <c r="C271">
        <v>0</v>
      </c>
      <c r="D271">
        <v>32</v>
      </c>
      <c r="E271">
        <v>11</v>
      </c>
      <c r="F271" t="s">
        <v>3644</v>
      </c>
    </row>
    <row r="272" spans="1:6" x14ac:dyDescent="0.3">
      <c r="A272" s="26" t="s">
        <v>3371</v>
      </c>
      <c r="B272" t="s">
        <v>3372</v>
      </c>
      <c r="C272">
        <v>5</v>
      </c>
      <c r="D272">
        <v>32</v>
      </c>
      <c r="E272">
        <v>5</v>
      </c>
      <c r="F272" t="s">
        <v>3643</v>
      </c>
    </row>
    <row r="273" spans="1:6" x14ac:dyDescent="0.3">
      <c r="A273" s="26" t="s">
        <v>3373</v>
      </c>
      <c r="B273" t="s">
        <v>1362</v>
      </c>
      <c r="C273">
        <v>0</v>
      </c>
      <c r="D273">
        <v>33</v>
      </c>
      <c r="E273">
        <v>9</v>
      </c>
      <c r="F273" t="s">
        <v>3644</v>
      </c>
    </row>
    <row r="274" spans="1:6" x14ac:dyDescent="0.3">
      <c r="A274" s="26" t="s">
        <v>1551</v>
      </c>
      <c r="B274" t="s">
        <v>1363</v>
      </c>
      <c r="C274">
        <v>0</v>
      </c>
      <c r="D274">
        <v>35</v>
      </c>
      <c r="E274">
        <v>19</v>
      </c>
      <c r="F274" t="s">
        <v>3644</v>
      </c>
    </row>
    <row r="275" spans="1:6" x14ac:dyDescent="0.3">
      <c r="A275" s="26" t="s">
        <v>3374</v>
      </c>
      <c r="B275" t="s">
        <v>1364</v>
      </c>
      <c r="C275">
        <v>0</v>
      </c>
      <c r="D275">
        <v>33</v>
      </c>
      <c r="E275">
        <v>11</v>
      </c>
      <c r="F275" t="s">
        <v>3644</v>
      </c>
    </row>
    <row r="276" spans="1:6" x14ac:dyDescent="0.3">
      <c r="A276" s="26" t="s">
        <v>3375</v>
      </c>
      <c r="B276" t="s">
        <v>3376</v>
      </c>
      <c r="C276">
        <v>6.5</v>
      </c>
      <c r="D276">
        <v>31</v>
      </c>
      <c r="E276">
        <v>2</v>
      </c>
      <c r="F276" t="s">
        <v>3643</v>
      </c>
    </row>
    <row r="277" spans="1:6" x14ac:dyDescent="0.3">
      <c r="A277" s="26" t="s">
        <v>1552</v>
      </c>
      <c r="B277" t="s">
        <v>1553</v>
      </c>
      <c r="C277">
        <v>0</v>
      </c>
      <c r="D277">
        <v>33</v>
      </c>
      <c r="E277">
        <v>5</v>
      </c>
      <c r="F277" t="s">
        <v>3644</v>
      </c>
    </row>
    <row r="278" spans="1:6" x14ac:dyDescent="0.3">
      <c r="A278" s="26" t="s">
        <v>3377</v>
      </c>
      <c r="B278" t="s">
        <v>3378</v>
      </c>
      <c r="C278">
        <v>0</v>
      </c>
      <c r="D278">
        <v>32.5</v>
      </c>
      <c r="E278">
        <v>6</v>
      </c>
      <c r="F278" t="s">
        <v>3643</v>
      </c>
    </row>
    <row r="279" spans="1:6" x14ac:dyDescent="0.3">
      <c r="A279" s="26" t="s">
        <v>3379</v>
      </c>
      <c r="B279" t="s">
        <v>3380</v>
      </c>
      <c r="C279">
        <v>4</v>
      </c>
      <c r="D279">
        <v>30</v>
      </c>
      <c r="E279">
        <v>3</v>
      </c>
      <c r="F279" t="s">
        <v>3643</v>
      </c>
    </row>
    <row r="280" spans="1:6" x14ac:dyDescent="0.3">
      <c r="A280" s="26" t="s">
        <v>1554</v>
      </c>
      <c r="B280" t="s">
        <v>1385</v>
      </c>
      <c r="C280">
        <v>5</v>
      </c>
      <c r="D280">
        <v>32</v>
      </c>
      <c r="E280">
        <v>6</v>
      </c>
      <c r="F280" t="s">
        <v>3644</v>
      </c>
    </row>
    <row r="281" spans="1:6" x14ac:dyDescent="0.3">
      <c r="A281" s="26" t="s">
        <v>1555</v>
      </c>
      <c r="B281" t="s">
        <v>1380</v>
      </c>
      <c r="C281">
        <v>9</v>
      </c>
      <c r="D281">
        <v>32</v>
      </c>
      <c r="E281">
        <v>5</v>
      </c>
      <c r="F281" t="s">
        <v>3644</v>
      </c>
    </row>
    <row r="282" spans="1:6" x14ac:dyDescent="0.3">
      <c r="A282" s="26" t="s">
        <v>3381</v>
      </c>
      <c r="B282" t="s">
        <v>3382</v>
      </c>
      <c r="C282">
        <v>10</v>
      </c>
      <c r="D282">
        <v>33</v>
      </c>
      <c r="E282">
        <v>8</v>
      </c>
      <c r="F282" t="s">
        <v>3643</v>
      </c>
    </row>
    <row r="283" spans="1:6" x14ac:dyDescent="0.3">
      <c r="A283" s="26" t="s">
        <v>3383</v>
      </c>
      <c r="B283" t="s">
        <v>3384</v>
      </c>
      <c r="C283">
        <v>2</v>
      </c>
      <c r="D283">
        <v>32</v>
      </c>
      <c r="E283">
        <v>9</v>
      </c>
      <c r="F283" t="s">
        <v>3643</v>
      </c>
    </row>
    <row r="284" spans="1:6" x14ac:dyDescent="0.3">
      <c r="A284" s="26" t="s">
        <v>1556</v>
      </c>
      <c r="B284" t="s">
        <v>1557</v>
      </c>
      <c r="C284">
        <v>13</v>
      </c>
      <c r="D284">
        <v>33.75</v>
      </c>
      <c r="E284">
        <v>6</v>
      </c>
      <c r="F284" t="s">
        <v>3644</v>
      </c>
    </row>
    <row r="285" spans="1:6" x14ac:dyDescent="0.3">
      <c r="A285" s="26" t="s">
        <v>3385</v>
      </c>
      <c r="B285" t="s">
        <v>3386</v>
      </c>
      <c r="C285">
        <v>0</v>
      </c>
      <c r="D285">
        <v>35</v>
      </c>
      <c r="E285">
        <v>9</v>
      </c>
      <c r="F285" t="s">
        <v>3643</v>
      </c>
    </row>
    <row r="286" spans="1:6" x14ac:dyDescent="0.3">
      <c r="A286" s="26" t="s">
        <v>3387</v>
      </c>
      <c r="B286" t="s">
        <v>3388</v>
      </c>
      <c r="C286">
        <v>6</v>
      </c>
      <c r="D286">
        <v>37</v>
      </c>
      <c r="E286">
        <v>3</v>
      </c>
      <c r="F286" t="s">
        <v>3643</v>
      </c>
    </row>
    <row r="287" spans="1:6" x14ac:dyDescent="0.3">
      <c r="A287" s="26" t="s">
        <v>3389</v>
      </c>
      <c r="B287" t="s">
        <v>3390</v>
      </c>
      <c r="C287">
        <v>13.5</v>
      </c>
      <c r="D287">
        <v>40</v>
      </c>
      <c r="E287">
        <v>3</v>
      </c>
      <c r="F287" t="s">
        <v>3643</v>
      </c>
    </row>
    <row r="288" spans="1:6" x14ac:dyDescent="0.3">
      <c r="A288" s="26" t="s">
        <v>1558</v>
      </c>
      <c r="B288" t="s">
        <v>1559</v>
      </c>
      <c r="C288">
        <v>4</v>
      </c>
      <c r="D288">
        <v>35</v>
      </c>
      <c r="E288">
        <v>10</v>
      </c>
      <c r="F288" t="s">
        <v>3644</v>
      </c>
    </row>
    <row r="289" spans="1:6" x14ac:dyDescent="0.3">
      <c r="A289" s="26" t="s">
        <v>1560</v>
      </c>
      <c r="B289" t="s">
        <v>1561</v>
      </c>
      <c r="C289">
        <v>5</v>
      </c>
      <c r="D289">
        <v>37.5</v>
      </c>
      <c r="E289">
        <v>10</v>
      </c>
      <c r="F289" t="s">
        <v>3644</v>
      </c>
    </row>
    <row r="290" spans="1:6" x14ac:dyDescent="0.3">
      <c r="A290" s="26" t="s">
        <v>1562</v>
      </c>
      <c r="B290" t="s">
        <v>1348</v>
      </c>
      <c r="C290">
        <v>5</v>
      </c>
      <c r="D290">
        <v>37.5</v>
      </c>
      <c r="E290">
        <v>2</v>
      </c>
      <c r="F290" t="s">
        <v>3644</v>
      </c>
    </row>
    <row r="291" spans="1:6" x14ac:dyDescent="0.3">
      <c r="A291" s="26" t="s">
        <v>3391</v>
      </c>
      <c r="B291" t="s">
        <v>1003</v>
      </c>
      <c r="C291">
        <v>5</v>
      </c>
      <c r="D291">
        <v>39</v>
      </c>
      <c r="E291">
        <v>117</v>
      </c>
      <c r="F291" t="s">
        <v>3644</v>
      </c>
    </row>
    <row r="292" spans="1:6" x14ac:dyDescent="0.3">
      <c r="A292" s="26" t="s">
        <v>3392</v>
      </c>
      <c r="B292" t="s">
        <v>3393</v>
      </c>
      <c r="C292">
        <v>5</v>
      </c>
      <c r="D292">
        <v>37.5</v>
      </c>
      <c r="E292">
        <v>2</v>
      </c>
      <c r="F292" t="s">
        <v>3643</v>
      </c>
    </row>
    <row r="293" spans="1:6" x14ac:dyDescent="0.3">
      <c r="A293" s="26" t="s">
        <v>3394</v>
      </c>
      <c r="B293" t="s">
        <v>3395</v>
      </c>
      <c r="C293">
        <v>0</v>
      </c>
      <c r="D293">
        <v>30</v>
      </c>
      <c r="E293">
        <v>7</v>
      </c>
      <c r="F293" t="s">
        <v>3643</v>
      </c>
    </row>
    <row r="294" spans="1:6" x14ac:dyDescent="0.3">
      <c r="A294" s="26" t="s">
        <v>1563</v>
      </c>
      <c r="B294" t="s">
        <v>1564</v>
      </c>
      <c r="C294">
        <v>10</v>
      </c>
      <c r="D294">
        <v>35</v>
      </c>
      <c r="E294">
        <v>12</v>
      </c>
      <c r="F294" t="s">
        <v>3644</v>
      </c>
    </row>
    <row r="295" spans="1:6" x14ac:dyDescent="0.3">
      <c r="A295" s="26" t="s">
        <v>3396</v>
      </c>
      <c r="B295" t="s">
        <v>1045</v>
      </c>
      <c r="C295">
        <v>9</v>
      </c>
      <c r="D295">
        <v>40</v>
      </c>
      <c r="E295">
        <v>8</v>
      </c>
      <c r="F295" t="s">
        <v>3644</v>
      </c>
    </row>
    <row r="296" spans="1:6" x14ac:dyDescent="0.3">
      <c r="A296" s="26" t="s">
        <v>3397</v>
      </c>
      <c r="B296" t="s">
        <v>1296</v>
      </c>
      <c r="C296">
        <v>5</v>
      </c>
      <c r="D296">
        <v>37.5</v>
      </c>
      <c r="E296">
        <v>5</v>
      </c>
      <c r="F296" t="s">
        <v>3644</v>
      </c>
    </row>
    <row r="297" spans="1:6" x14ac:dyDescent="0.3">
      <c r="A297" s="26" t="s">
        <v>3398</v>
      </c>
      <c r="B297" t="s">
        <v>3399</v>
      </c>
      <c r="C297">
        <v>10</v>
      </c>
      <c r="D297">
        <v>35</v>
      </c>
      <c r="E297">
        <v>2</v>
      </c>
      <c r="F297" t="s">
        <v>3643</v>
      </c>
    </row>
    <row r="298" spans="1:6" x14ac:dyDescent="0.3">
      <c r="A298" s="26" t="s">
        <v>3400</v>
      </c>
      <c r="B298" t="s">
        <v>3401</v>
      </c>
      <c r="C298">
        <v>6.5</v>
      </c>
      <c r="D298">
        <v>32</v>
      </c>
      <c r="E298">
        <v>3</v>
      </c>
      <c r="F298" t="s">
        <v>3643</v>
      </c>
    </row>
    <row r="299" spans="1:6" x14ac:dyDescent="0.3">
      <c r="A299" s="26" t="s">
        <v>3402</v>
      </c>
      <c r="B299" t="s">
        <v>3403</v>
      </c>
      <c r="C299">
        <v>5</v>
      </c>
      <c r="D299">
        <v>32.5</v>
      </c>
      <c r="E299">
        <v>3</v>
      </c>
      <c r="F299" t="s">
        <v>3643</v>
      </c>
    </row>
    <row r="300" spans="1:6" x14ac:dyDescent="0.3">
      <c r="A300" s="26" t="s">
        <v>1565</v>
      </c>
      <c r="B300" t="s">
        <v>1566</v>
      </c>
      <c r="C300">
        <v>9</v>
      </c>
      <c r="D300">
        <v>47</v>
      </c>
      <c r="E300">
        <v>25</v>
      </c>
      <c r="F300" t="s">
        <v>3644</v>
      </c>
    </row>
    <row r="301" spans="1:6" x14ac:dyDescent="0.3">
      <c r="A301" s="26" t="s">
        <v>3404</v>
      </c>
      <c r="B301" t="s">
        <v>1148</v>
      </c>
      <c r="C301">
        <v>-2.5</v>
      </c>
      <c r="D301">
        <v>30</v>
      </c>
      <c r="E301">
        <v>4</v>
      </c>
      <c r="F301" t="s">
        <v>3644</v>
      </c>
    </row>
    <row r="302" spans="1:6" x14ac:dyDescent="0.3">
      <c r="A302" s="26" t="s">
        <v>3405</v>
      </c>
      <c r="B302" t="s">
        <v>3406</v>
      </c>
      <c r="C302">
        <v>15</v>
      </c>
      <c r="D302">
        <v>20</v>
      </c>
      <c r="E302">
        <v>2</v>
      </c>
      <c r="F302" t="s">
        <v>3643</v>
      </c>
    </row>
    <row r="303" spans="1:6" x14ac:dyDescent="0.3">
      <c r="A303" s="26" t="s">
        <v>3407</v>
      </c>
      <c r="B303" t="s">
        <v>3408</v>
      </c>
      <c r="C303">
        <v>12</v>
      </c>
      <c r="D303">
        <v>38</v>
      </c>
      <c r="E303">
        <v>4</v>
      </c>
      <c r="F303" t="s">
        <v>3643</v>
      </c>
    </row>
    <row r="304" spans="1:6" x14ac:dyDescent="0.3">
      <c r="A304" s="26" t="s">
        <v>1567</v>
      </c>
      <c r="B304" t="s">
        <v>1568</v>
      </c>
      <c r="C304">
        <v>4</v>
      </c>
      <c r="D304">
        <v>35</v>
      </c>
      <c r="E304">
        <v>6</v>
      </c>
      <c r="F304" t="s">
        <v>3644</v>
      </c>
    </row>
    <row r="305" spans="1:6" x14ac:dyDescent="0.3">
      <c r="A305" s="26" t="s">
        <v>3409</v>
      </c>
      <c r="B305" t="s">
        <v>1099</v>
      </c>
      <c r="C305">
        <v>7</v>
      </c>
      <c r="D305">
        <v>38</v>
      </c>
      <c r="E305">
        <v>10</v>
      </c>
      <c r="F305" t="s">
        <v>3644</v>
      </c>
    </row>
    <row r="306" spans="1:6" x14ac:dyDescent="0.3">
      <c r="A306" s="26" t="s">
        <v>1569</v>
      </c>
      <c r="B306" t="s">
        <v>1570</v>
      </c>
      <c r="C306">
        <v>1</v>
      </c>
      <c r="D306">
        <v>33.5</v>
      </c>
      <c r="E306">
        <v>3</v>
      </c>
      <c r="F306" t="s">
        <v>3644</v>
      </c>
    </row>
    <row r="307" spans="1:6" x14ac:dyDescent="0.3">
      <c r="A307" s="26" t="s">
        <v>3410</v>
      </c>
      <c r="B307" t="s">
        <v>1103</v>
      </c>
      <c r="C307">
        <v>4</v>
      </c>
      <c r="D307">
        <v>32</v>
      </c>
      <c r="E307">
        <v>4</v>
      </c>
      <c r="F307" t="s">
        <v>3644</v>
      </c>
    </row>
    <row r="308" spans="1:6" x14ac:dyDescent="0.3">
      <c r="A308" s="26" t="s">
        <v>3411</v>
      </c>
      <c r="B308" t="s">
        <v>3412</v>
      </c>
      <c r="C308">
        <v>5.5</v>
      </c>
      <c r="D308">
        <v>37.5</v>
      </c>
      <c r="E308">
        <v>5</v>
      </c>
      <c r="F308" t="s">
        <v>3643</v>
      </c>
    </row>
    <row r="309" spans="1:6" x14ac:dyDescent="0.3">
      <c r="A309" s="26" t="s">
        <v>3413</v>
      </c>
      <c r="B309" t="s">
        <v>3414</v>
      </c>
      <c r="C309">
        <v>16</v>
      </c>
      <c r="D309">
        <v>31</v>
      </c>
      <c r="E309">
        <v>7</v>
      </c>
      <c r="F309" t="s">
        <v>3643</v>
      </c>
    </row>
    <row r="310" spans="1:6" x14ac:dyDescent="0.3">
      <c r="A310" s="26" t="s">
        <v>3415</v>
      </c>
      <c r="B310" t="s">
        <v>1108</v>
      </c>
      <c r="C310">
        <v>1</v>
      </c>
      <c r="D310">
        <v>37.5</v>
      </c>
      <c r="E310">
        <v>3</v>
      </c>
      <c r="F310" t="s">
        <v>3644</v>
      </c>
    </row>
    <row r="311" spans="1:6" x14ac:dyDescent="0.3">
      <c r="A311" s="26" t="s">
        <v>3416</v>
      </c>
      <c r="B311" t="s">
        <v>1110</v>
      </c>
      <c r="C311">
        <v>7</v>
      </c>
      <c r="D311">
        <v>36</v>
      </c>
      <c r="E311">
        <v>6</v>
      </c>
      <c r="F311" t="s">
        <v>3644</v>
      </c>
    </row>
    <row r="312" spans="1:6" x14ac:dyDescent="0.3">
      <c r="A312" s="26" t="s">
        <v>3417</v>
      </c>
      <c r="B312" t="s">
        <v>1112</v>
      </c>
      <c r="C312">
        <v>0</v>
      </c>
      <c r="D312">
        <v>35</v>
      </c>
      <c r="E312">
        <v>19</v>
      </c>
      <c r="F312" t="s">
        <v>3644</v>
      </c>
    </row>
    <row r="313" spans="1:6" x14ac:dyDescent="0.3">
      <c r="A313" s="26" t="s">
        <v>3418</v>
      </c>
      <c r="B313" t="s">
        <v>1113</v>
      </c>
      <c r="C313">
        <v>0</v>
      </c>
      <c r="D313">
        <v>30</v>
      </c>
      <c r="E313">
        <v>8</v>
      </c>
      <c r="F313" t="s">
        <v>3644</v>
      </c>
    </row>
    <row r="314" spans="1:6" x14ac:dyDescent="0.3">
      <c r="A314" s="26" t="s">
        <v>3419</v>
      </c>
      <c r="B314" t="s">
        <v>3420</v>
      </c>
      <c r="C314">
        <v>7</v>
      </c>
      <c r="D314">
        <v>33</v>
      </c>
      <c r="E314">
        <v>3</v>
      </c>
      <c r="F314" t="s">
        <v>3643</v>
      </c>
    </row>
    <row r="315" spans="1:6" x14ac:dyDescent="0.3">
      <c r="A315" s="26" t="s">
        <v>3421</v>
      </c>
      <c r="B315" t="s">
        <v>3422</v>
      </c>
      <c r="C315">
        <v>2.25</v>
      </c>
      <c r="D315">
        <v>30</v>
      </c>
      <c r="E315">
        <v>22</v>
      </c>
      <c r="F315" t="s">
        <v>3643</v>
      </c>
    </row>
    <row r="316" spans="1:6" x14ac:dyDescent="0.3">
      <c r="A316" s="26" t="s">
        <v>1571</v>
      </c>
      <c r="B316" t="s">
        <v>1113</v>
      </c>
      <c r="C316">
        <v>1.5</v>
      </c>
      <c r="D316">
        <v>43</v>
      </c>
      <c r="E316">
        <v>13</v>
      </c>
      <c r="F316" t="s">
        <v>3644</v>
      </c>
    </row>
    <row r="317" spans="1:6" x14ac:dyDescent="0.3">
      <c r="A317" s="26" t="s">
        <v>3423</v>
      </c>
      <c r="B317" t="s">
        <v>1117</v>
      </c>
      <c r="C317">
        <v>0</v>
      </c>
      <c r="D317">
        <v>32.5</v>
      </c>
      <c r="E317">
        <v>19</v>
      </c>
      <c r="F317" t="s">
        <v>3644</v>
      </c>
    </row>
    <row r="318" spans="1:6" x14ac:dyDescent="0.3">
      <c r="A318" s="26" t="s">
        <v>1572</v>
      </c>
      <c r="B318" t="s">
        <v>1573</v>
      </c>
      <c r="C318">
        <v>10</v>
      </c>
      <c r="D318">
        <v>33</v>
      </c>
      <c r="E318">
        <v>3</v>
      </c>
      <c r="F318" t="s">
        <v>3644</v>
      </c>
    </row>
    <row r="319" spans="1:6" x14ac:dyDescent="0.3">
      <c r="A319" s="26" t="s">
        <v>3424</v>
      </c>
      <c r="B319" t="s">
        <v>3425</v>
      </c>
      <c r="C319">
        <v>6.5</v>
      </c>
      <c r="D319">
        <v>25</v>
      </c>
      <c r="E319">
        <v>3</v>
      </c>
      <c r="F319" t="s">
        <v>3643</v>
      </c>
    </row>
    <row r="320" spans="1:6" x14ac:dyDescent="0.3">
      <c r="A320" s="26" t="s">
        <v>1574</v>
      </c>
      <c r="B320" t="s">
        <v>1575</v>
      </c>
      <c r="C320">
        <v>10</v>
      </c>
      <c r="D320">
        <v>30</v>
      </c>
      <c r="E320">
        <v>6</v>
      </c>
      <c r="F320" t="s">
        <v>3644</v>
      </c>
    </row>
    <row r="321" spans="1:6" x14ac:dyDescent="0.3">
      <c r="A321" s="26" t="s">
        <v>3426</v>
      </c>
      <c r="B321" t="s">
        <v>3427</v>
      </c>
      <c r="C321">
        <v>5.5</v>
      </c>
      <c r="D321">
        <v>25.5</v>
      </c>
      <c r="E321">
        <v>3</v>
      </c>
      <c r="F321" t="s">
        <v>3643</v>
      </c>
    </row>
    <row r="322" spans="1:6" x14ac:dyDescent="0.3">
      <c r="A322" s="26" t="s">
        <v>1576</v>
      </c>
      <c r="B322" t="s">
        <v>1577</v>
      </c>
      <c r="C322">
        <v>3</v>
      </c>
      <c r="D322">
        <v>28</v>
      </c>
      <c r="E322">
        <v>9</v>
      </c>
      <c r="F322" t="s">
        <v>3644</v>
      </c>
    </row>
    <row r="323" spans="1:6" x14ac:dyDescent="0.3">
      <c r="A323" s="26" t="s">
        <v>1578</v>
      </c>
      <c r="B323" t="s">
        <v>383</v>
      </c>
      <c r="C323">
        <v>0.5</v>
      </c>
      <c r="D323">
        <v>30</v>
      </c>
      <c r="E323">
        <v>19</v>
      </c>
      <c r="F323" t="s">
        <v>3643</v>
      </c>
    </row>
    <row r="324" spans="1:6" x14ac:dyDescent="0.3">
      <c r="A324" s="26" t="s">
        <v>3428</v>
      </c>
      <c r="B324" t="s">
        <v>1124</v>
      </c>
      <c r="C324">
        <v>1</v>
      </c>
      <c r="D324">
        <v>31.1</v>
      </c>
      <c r="E324">
        <v>24</v>
      </c>
      <c r="F324" t="s">
        <v>3644</v>
      </c>
    </row>
    <row r="325" spans="1:6" x14ac:dyDescent="0.3">
      <c r="A325" s="26" t="s">
        <v>3429</v>
      </c>
      <c r="B325" t="s">
        <v>3430</v>
      </c>
      <c r="C325">
        <v>4</v>
      </c>
      <c r="D325">
        <v>28</v>
      </c>
      <c r="E325">
        <v>7</v>
      </c>
      <c r="F325" t="s">
        <v>3643</v>
      </c>
    </row>
    <row r="326" spans="1:6" x14ac:dyDescent="0.3">
      <c r="A326" s="26" t="s">
        <v>3431</v>
      </c>
      <c r="B326" t="s">
        <v>1370</v>
      </c>
      <c r="C326">
        <v>2.5</v>
      </c>
      <c r="D326">
        <v>36</v>
      </c>
      <c r="E326">
        <v>9</v>
      </c>
      <c r="F326" t="s">
        <v>3644</v>
      </c>
    </row>
    <row r="327" spans="1:6" x14ac:dyDescent="0.3">
      <c r="A327" s="26" t="s">
        <v>3432</v>
      </c>
      <c r="B327" t="s">
        <v>3433</v>
      </c>
      <c r="C327">
        <v>10</v>
      </c>
      <c r="D327">
        <v>38</v>
      </c>
      <c r="E327">
        <v>6</v>
      </c>
      <c r="F327" t="s">
        <v>3643</v>
      </c>
    </row>
    <row r="328" spans="1:6" x14ac:dyDescent="0.3">
      <c r="A328" s="26" t="s">
        <v>3434</v>
      </c>
      <c r="B328" t="s">
        <v>3435</v>
      </c>
      <c r="C328">
        <v>7.5</v>
      </c>
      <c r="D328">
        <v>36</v>
      </c>
      <c r="E328">
        <v>15</v>
      </c>
      <c r="F328" t="s">
        <v>3643</v>
      </c>
    </row>
    <row r="329" spans="1:6" x14ac:dyDescent="0.3">
      <c r="A329" s="26" t="s">
        <v>3436</v>
      </c>
      <c r="B329" t="s">
        <v>3437</v>
      </c>
      <c r="C329">
        <v>4</v>
      </c>
      <c r="D329">
        <v>35</v>
      </c>
      <c r="E329">
        <v>3</v>
      </c>
      <c r="F329" t="s">
        <v>3643</v>
      </c>
    </row>
    <row r="330" spans="1:6" x14ac:dyDescent="0.3">
      <c r="A330" s="26" t="s">
        <v>3438</v>
      </c>
      <c r="B330" t="s">
        <v>3439</v>
      </c>
      <c r="C330">
        <v>4</v>
      </c>
      <c r="D330">
        <v>40</v>
      </c>
      <c r="E330">
        <v>8</v>
      </c>
      <c r="F330" t="s">
        <v>3643</v>
      </c>
    </row>
    <row r="331" spans="1:6" x14ac:dyDescent="0.3">
      <c r="A331" s="26" t="s">
        <v>1579</v>
      </c>
      <c r="B331" t="s">
        <v>1580</v>
      </c>
      <c r="C331">
        <v>10</v>
      </c>
      <c r="D331">
        <v>40</v>
      </c>
      <c r="E331">
        <v>6</v>
      </c>
      <c r="F331" t="s">
        <v>3644</v>
      </c>
    </row>
    <row r="332" spans="1:6" x14ac:dyDescent="0.3">
      <c r="A332" s="26" t="s">
        <v>3440</v>
      </c>
      <c r="B332" t="s">
        <v>3441</v>
      </c>
      <c r="C332">
        <v>1.5</v>
      </c>
      <c r="D332">
        <v>35</v>
      </c>
      <c r="E332">
        <v>2</v>
      </c>
      <c r="F332" t="s">
        <v>3643</v>
      </c>
    </row>
    <row r="333" spans="1:6" x14ac:dyDescent="0.3">
      <c r="A333" s="26" t="s">
        <v>3442</v>
      </c>
      <c r="B333" t="s">
        <v>3443</v>
      </c>
      <c r="C333">
        <v>5</v>
      </c>
      <c r="D333">
        <v>20</v>
      </c>
      <c r="E333">
        <v>3</v>
      </c>
      <c r="F333" t="s">
        <v>3643</v>
      </c>
    </row>
    <row r="334" spans="1:6" x14ac:dyDescent="0.3">
      <c r="A334" s="26" t="s">
        <v>3444</v>
      </c>
      <c r="B334" t="s">
        <v>3445</v>
      </c>
      <c r="C334">
        <v>5</v>
      </c>
      <c r="D334">
        <v>37.5</v>
      </c>
      <c r="E334">
        <v>8</v>
      </c>
      <c r="F334" t="s">
        <v>3643</v>
      </c>
    </row>
    <row r="335" spans="1:6" x14ac:dyDescent="0.3">
      <c r="A335" s="26" t="s">
        <v>1581</v>
      </c>
      <c r="B335" t="s">
        <v>383</v>
      </c>
      <c r="C335">
        <v>4.9000000000000004</v>
      </c>
      <c r="D335">
        <v>37.799999999999997</v>
      </c>
      <c r="E335">
        <v>10</v>
      </c>
      <c r="F335" t="s">
        <v>3643</v>
      </c>
    </row>
    <row r="336" spans="1:6" x14ac:dyDescent="0.3">
      <c r="A336" s="26" t="s">
        <v>1582</v>
      </c>
      <c r="B336" t="s">
        <v>1583</v>
      </c>
      <c r="C336">
        <v>0</v>
      </c>
      <c r="D336">
        <v>34</v>
      </c>
      <c r="E336">
        <v>8</v>
      </c>
      <c r="F336" t="s">
        <v>3644</v>
      </c>
    </row>
    <row r="337" spans="1:6" x14ac:dyDescent="0.3">
      <c r="A337" s="26" t="s">
        <v>3446</v>
      </c>
      <c r="B337" t="s">
        <v>3447</v>
      </c>
      <c r="C337">
        <v>4</v>
      </c>
      <c r="D337">
        <v>35</v>
      </c>
      <c r="E337">
        <v>8</v>
      </c>
      <c r="F337" t="s">
        <v>3643</v>
      </c>
    </row>
    <row r="338" spans="1:6" x14ac:dyDescent="0.3">
      <c r="A338" s="26" t="s">
        <v>1584</v>
      </c>
      <c r="B338" t="s">
        <v>1585</v>
      </c>
      <c r="C338">
        <v>10.5</v>
      </c>
      <c r="D338">
        <v>35</v>
      </c>
      <c r="E338">
        <v>4</v>
      </c>
      <c r="F338" t="s">
        <v>3644</v>
      </c>
    </row>
    <row r="339" spans="1:6" x14ac:dyDescent="0.3">
      <c r="A339" s="26" t="s">
        <v>1586</v>
      </c>
      <c r="B339" t="s">
        <v>1587</v>
      </c>
      <c r="C339">
        <v>11</v>
      </c>
      <c r="D339">
        <v>38</v>
      </c>
      <c r="E339">
        <v>9</v>
      </c>
      <c r="F339" t="s">
        <v>3644</v>
      </c>
    </row>
    <row r="340" spans="1:6" x14ac:dyDescent="0.3">
      <c r="A340" s="26" t="s">
        <v>3448</v>
      </c>
      <c r="B340" t="s">
        <v>3449</v>
      </c>
      <c r="C340">
        <v>15</v>
      </c>
      <c r="D340">
        <v>35</v>
      </c>
      <c r="E340">
        <v>6</v>
      </c>
      <c r="F340" t="s">
        <v>3643</v>
      </c>
    </row>
    <row r="341" spans="1:6" x14ac:dyDescent="0.3">
      <c r="A341" s="26" t="s">
        <v>3450</v>
      </c>
      <c r="B341" t="s">
        <v>3451</v>
      </c>
      <c r="C341">
        <v>5</v>
      </c>
      <c r="D341">
        <v>39</v>
      </c>
      <c r="E341">
        <v>30</v>
      </c>
      <c r="F341" t="s">
        <v>3643</v>
      </c>
    </row>
    <row r="342" spans="1:6" x14ac:dyDescent="0.3">
      <c r="A342" s="26" t="s">
        <v>3452</v>
      </c>
      <c r="B342" t="s">
        <v>3453</v>
      </c>
      <c r="C342">
        <v>2.5</v>
      </c>
      <c r="D342">
        <v>30</v>
      </c>
      <c r="E342">
        <v>5</v>
      </c>
      <c r="F342" t="s">
        <v>3643</v>
      </c>
    </row>
    <row r="343" spans="1:6" x14ac:dyDescent="0.3">
      <c r="A343" s="26" t="s">
        <v>3454</v>
      </c>
      <c r="B343" t="s">
        <v>3455</v>
      </c>
      <c r="C343">
        <v>23</v>
      </c>
      <c r="D343">
        <v>30</v>
      </c>
      <c r="E343">
        <v>9</v>
      </c>
      <c r="F343" t="s">
        <v>3643</v>
      </c>
    </row>
    <row r="344" spans="1:6" x14ac:dyDescent="0.3">
      <c r="A344" s="26" t="s">
        <v>1588</v>
      </c>
      <c r="B344" t="s">
        <v>1589</v>
      </c>
      <c r="C344">
        <v>9</v>
      </c>
      <c r="D344">
        <v>35</v>
      </c>
      <c r="E344">
        <v>8</v>
      </c>
      <c r="F344" t="s">
        <v>3644</v>
      </c>
    </row>
    <row r="345" spans="1:6" x14ac:dyDescent="0.3">
      <c r="A345" s="26" t="s">
        <v>1590</v>
      </c>
      <c r="B345" t="s">
        <v>1591</v>
      </c>
      <c r="C345">
        <v>4</v>
      </c>
      <c r="D345">
        <v>38</v>
      </c>
      <c r="E345">
        <v>114</v>
      </c>
      <c r="F345" t="s">
        <v>3644</v>
      </c>
    </row>
    <row r="346" spans="1:6" x14ac:dyDescent="0.3">
      <c r="A346" s="26" t="s">
        <v>1592</v>
      </c>
      <c r="B346" t="s">
        <v>1593</v>
      </c>
      <c r="C346">
        <v>5</v>
      </c>
      <c r="D346">
        <v>35</v>
      </c>
      <c r="E346">
        <v>11</v>
      </c>
      <c r="F346" t="s">
        <v>3644</v>
      </c>
    </row>
    <row r="347" spans="1:6" x14ac:dyDescent="0.3">
      <c r="A347" s="26" t="s">
        <v>1594</v>
      </c>
      <c r="B347" t="s">
        <v>1595</v>
      </c>
      <c r="C347">
        <v>8</v>
      </c>
      <c r="D347">
        <v>37.5</v>
      </c>
      <c r="E347">
        <v>14</v>
      </c>
      <c r="F347" t="s">
        <v>3644</v>
      </c>
    </row>
    <row r="348" spans="1:6" x14ac:dyDescent="0.3">
      <c r="A348" s="26" t="s">
        <v>1596</v>
      </c>
      <c r="B348" t="s">
        <v>1597</v>
      </c>
      <c r="C348">
        <v>5</v>
      </c>
      <c r="D348">
        <v>35</v>
      </c>
      <c r="E348">
        <v>33</v>
      </c>
      <c r="F348" t="s">
        <v>3644</v>
      </c>
    </row>
    <row r="349" spans="1:6" x14ac:dyDescent="0.3">
      <c r="A349" s="26" t="s">
        <v>1598</v>
      </c>
      <c r="B349" t="s">
        <v>1599</v>
      </c>
      <c r="C349">
        <v>5</v>
      </c>
      <c r="D349">
        <v>33</v>
      </c>
      <c r="E349">
        <v>12</v>
      </c>
      <c r="F349" t="s">
        <v>3644</v>
      </c>
    </row>
    <row r="350" spans="1:6" x14ac:dyDescent="0.3">
      <c r="A350" s="26" t="s">
        <v>1600</v>
      </c>
      <c r="B350" t="s">
        <v>1601</v>
      </c>
      <c r="C350">
        <v>5</v>
      </c>
      <c r="D350">
        <v>37</v>
      </c>
      <c r="E350">
        <v>41</v>
      </c>
      <c r="F350" t="s">
        <v>3644</v>
      </c>
    </row>
    <row r="351" spans="1:6" x14ac:dyDescent="0.3">
      <c r="A351" s="26" t="s">
        <v>1602</v>
      </c>
      <c r="B351" t="s">
        <v>1603</v>
      </c>
      <c r="C351">
        <v>8</v>
      </c>
      <c r="D351">
        <v>35</v>
      </c>
      <c r="E351">
        <v>12</v>
      </c>
      <c r="F351" t="s">
        <v>3644</v>
      </c>
    </row>
    <row r="352" spans="1:6" x14ac:dyDescent="0.3">
      <c r="A352" s="26" t="s">
        <v>1604</v>
      </c>
      <c r="B352" t="s">
        <v>1605</v>
      </c>
      <c r="C352">
        <v>5</v>
      </c>
      <c r="D352">
        <v>35</v>
      </c>
      <c r="E352">
        <v>8</v>
      </c>
      <c r="F352" t="s">
        <v>3644</v>
      </c>
    </row>
    <row r="353" spans="1:6" x14ac:dyDescent="0.3">
      <c r="A353" s="26" t="s">
        <v>3456</v>
      </c>
      <c r="B353" t="s">
        <v>3457</v>
      </c>
      <c r="C353">
        <v>5</v>
      </c>
      <c r="D353">
        <v>37.5</v>
      </c>
      <c r="E353">
        <v>7</v>
      </c>
      <c r="F353" t="s">
        <v>3643</v>
      </c>
    </row>
    <row r="354" spans="1:6" x14ac:dyDescent="0.3">
      <c r="A354" s="26" t="s">
        <v>3458</v>
      </c>
      <c r="B354" t="s">
        <v>3459</v>
      </c>
      <c r="C354">
        <v>5</v>
      </c>
      <c r="D354">
        <v>31</v>
      </c>
      <c r="E354">
        <v>5</v>
      </c>
      <c r="F354" t="s">
        <v>3643</v>
      </c>
    </row>
    <row r="355" spans="1:6" x14ac:dyDescent="0.3">
      <c r="A355" s="26" t="s">
        <v>3460</v>
      </c>
      <c r="B355" t="s">
        <v>3461</v>
      </c>
      <c r="C355">
        <v>10</v>
      </c>
      <c r="D355">
        <v>40</v>
      </c>
      <c r="E355">
        <v>3</v>
      </c>
      <c r="F355" t="s">
        <v>3643</v>
      </c>
    </row>
    <row r="356" spans="1:6" x14ac:dyDescent="0.3">
      <c r="A356" s="26" t="s">
        <v>1606</v>
      </c>
      <c r="B356" t="s">
        <v>1607</v>
      </c>
      <c r="C356">
        <v>5</v>
      </c>
      <c r="D356">
        <v>32</v>
      </c>
      <c r="E356">
        <v>8</v>
      </c>
      <c r="F356" t="s">
        <v>3644</v>
      </c>
    </row>
    <row r="357" spans="1:6" x14ac:dyDescent="0.3">
      <c r="A357" s="26" t="s">
        <v>3462</v>
      </c>
      <c r="B357" t="s">
        <v>1305</v>
      </c>
      <c r="C357">
        <v>1.5</v>
      </c>
      <c r="D357">
        <v>36.5</v>
      </c>
      <c r="E357">
        <v>112</v>
      </c>
      <c r="F357" t="s">
        <v>3644</v>
      </c>
    </row>
    <row r="358" spans="1:6" x14ac:dyDescent="0.3">
      <c r="A358" s="26" t="s">
        <v>3463</v>
      </c>
      <c r="B358" t="s">
        <v>3464</v>
      </c>
      <c r="C358">
        <v>10</v>
      </c>
      <c r="D358">
        <v>35</v>
      </c>
      <c r="E358">
        <v>4</v>
      </c>
      <c r="F358" t="s">
        <v>3643</v>
      </c>
    </row>
    <row r="359" spans="1:6" x14ac:dyDescent="0.3">
      <c r="A359" s="26" t="s">
        <v>1608</v>
      </c>
      <c r="B359" t="s">
        <v>1609</v>
      </c>
      <c r="C359">
        <v>8</v>
      </c>
      <c r="D359">
        <v>35</v>
      </c>
      <c r="E359">
        <v>9</v>
      </c>
      <c r="F359" t="s">
        <v>3644</v>
      </c>
    </row>
    <row r="360" spans="1:6" x14ac:dyDescent="0.3">
      <c r="A360" s="26" t="s">
        <v>3465</v>
      </c>
      <c r="B360" t="s">
        <v>3466</v>
      </c>
      <c r="C360">
        <v>18</v>
      </c>
      <c r="D360">
        <v>35</v>
      </c>
      <c r="E360">
        <v>6</v>
      </c>
      <c r="F360" t="s">
        <v>3643</v>
      </c>
    </row>
    <row r="361" spans="1:6" x14ac:dyDescent="0.3">
      <c r="A361" s="26" t="s">
        <v>3467</v>
      </c>
      <c r="B361" t="s">
        <v>3468</v>
      </c>
      <c r="C361">
        <v>8</v>
      </c>
      <c r="D361">
        <v>37</v>
      </c>
      <c r="E361">
        <v>4</v>
      </c>
      <c r="F361" t="s">
        <v>3643</v>
      </c>
    </row>
    <row r="362" spans="1:6" x14ac:dyDescent="0.3">
      <c r="A362" s="26" t="s">
        <v>1610</v>
      </c>
      <c r="B362" t="s">
        <v>383</v>
      </c>
      <c r="C362">
        <v>5</v>
      </c>
      <c r="D362">
        <v>44</v>
      </c>
      <c r="E362">
        <v>309</v>
      </c>
      <c r="F362" t="s">
        <v>3643</v>
      </c>
    </row>
    <row r="363" spans="1:6" x14ac:dyDescent="0.3">
      <c r="A363" s="26" t="s">
        <v>3469</v>
      </c>
      <c r="B363" t="s">
        <v>3470</v>
      </c>
      <c r="C363">
        <v>5</v>
      </c>
      <c r="D363">
        <v>38</v>
      </c>
      <c r="E363">
        <v>197</v>
      </c>
      <c r="F363" t="s">
        <v>3643</v>
      </c>
    </row>
    <row r="364" spans="1:6" x14ac:dyDescent="0.3">
      <c r="A364" s="26" t="s">
        <v>1611</v>
      </c>
      <c r="B364" t="s">
        <v>1612</v>
      </c>
      <c r="C364">
        <v>8</v>
      </c>
      <c r="D364">
        <v>35</v>
      </c>
      <c r="E364">
        <v>2</v>
      </c>
      <c r="F364" t="s">
        <v>3644</v>
      </c>
    </row>
    <row r="365" spans="1:6" x14ac:dyDescent="0.3">
      <c r="A365" s="26" t="s">
        <v>3471</v>
      </c>
      <c r="B365" t="s">
        <v>3472</v>
      </c>
      <c r="C365">
        <v>5</v>
      </c>
      <c r="D365">
        <v>35</v>
      </c>
      <c r="E365">
        <v>12</v>
      </c>
      <c r="F365" t="s">
        <v>3643</v>
      </c>
    </row>
    <row r="366" spans="1:6" x14ac:dyDescent="0.3">
      <c r="A366" s="26" t="s">
        <v>3473</v>
      </c>
      <c r="B366" t="s">
        <v>3474</v>
      </c>
      <c r="C366">
        <v>8</v>
      </c>
      <c r="D366">
        <v>31</v>
      </c>
      <c r="E366">
        <v>5</v>
      </c>
      <c r="F366" t="s">
        <v>3643</v>
      </c>
    </row>
    <row r="367" spans="1:6" x14ac:dyDescent="0.3">
      <c r="A367" s="26" t="s">
        <v>1613</v>
      </c>
      <c r="B367" t="s">
        <v>1614</v>
      </c>
      <c r="C367">
        <v>5</v>
      </c>
      <c r="D367">
        <v>35.5</v>
      </c>
      <c r="E367">
        <v>3</v>
      </c>
      <c r="F367" t="s">
        <v>3644</v>
      </c>
    </row>
    <row r="368" spans="1:6" x14ac:dyDescent="0.3">
      <c r="A368" s="26" t="s">
        <v>1615</v>
      </c>
      <c r="B368" t="s">
        <v>1616</v>
      </c>
      <c r="C368">
        <v>5</v>
      </c>
      <c r="D368">
        <v>35</v>
      </c>
      <c r="E368">
        <v>45</v>
      </c>
      <c r="F368" t="s">
        <v>3644</v>
      </c>
    </row>
    <row r="369" spans="1:6" x14ac:dyDescent="0.3">
      <c r="A369" s="26" t="s">
        <v>3475</v>
      </c>
      <c r="B369" t="s">
        <v>3476</v>
      </c>
      <c r="C369">
        <v>8</v>
      </c>
      <c r="D369">
        <v>30</v>
      </c>
      <c r="E369">
        <v>2</v>
      </c>
      <c r="F369" t="s">
        <v>3643</v>
      </c>
    </row>
    <row r="370" spans="1:6" x14ac:dyDescent="0.3">
      <c r="A370" s="26" t="s">
        <v>3477</v>
      </c>
      <c r="B370" t="s">
        <v>383</v>
      </c>
      <c r="C370">
        <v>0</v>
      </c>
      <c r="D370">
        <v>27</v>
      </c>
      <c r="E370">
        <v>10</v>
      </c>
      <c r="F370" t="s">
        <v>3643</v>
      </c>
    </row>
    <row r="371" spans="1:6" x14ac:dyDescent="0.3">
      <c r="A371" s="26" t="s">
        <v>1617</v>
      </c>
      <c r="B371" t="s">
        <v>1378</v>
      </c>
      <c r="C371">
        <v>10</v>
      </c>
      <c r="D371">
        <v>30</v>
      </c>
      <c r="E371">
        <v>9</v>
      </c>
      <c r="F371" t="s">
        <v>3644</v>
      </c>
    </row>
    <row r="372" spans="1:6" x14ac:dyDescent="0.3">
      <c r="A372" s="26" t="s">
        <v>1618</v>
      </c>
      <c r="B372" t="s">
        <v>1619</v>
      </c>
      <c r="C372">
        <v>0.55000000000000004</v>
      </c>
      <c r="D372">
        <v>30.6</v>
      </c>
      <c r="E372">
        <v>18</v>
      </c>
      <c r="F372" t="s">
        <v>3644</v>
      </c>
    </row>
    <row r="373" spans="1:6" x14ac:dyDescent="0.3">
      <c r="A373" s="26" t="s">
        <v>1620</v>
      </c>
      <c r="B373" t="s">
        <v>1621</v>
      </c>
      <c r="C373">
        <v>5</v>
      </c>
      <c r="D373">
        <v>33</v>
      </c>
      <c r="E373">
        <v>9</v>
      </c>
      <c r="F373" t="s">
        <v>3644</v>
      </c>
    </row>
    <row r="374" spans="1:6" x14ac:dyDescent="0.3">
      <c r="A374" s="26" t="s">
        <v>1622</v>
      </c>
      <c r="B374" t="s">
        <v>1623</v>
      </c>
      <c r="C374">
        <v>5</v>
      </c>
      <c r="D374">
        <v>35</v>
      </c>
      <c r="E374">
        <v>3</v>
      </c>
      <c r="F374" t="s">
        <v>3644</v>
      </c>
    </row>
    <row r="375" spans="1:6" x14ac:dyDescent="0.3">
      <c r="A375" s="26" t="s">
        <v>3478</v>
      </c>
      <c r="B375" t="s">
        <v>3479</v>
      </c>
      <c r="C375">
        <v>8.5</v>
      </c>
      <c r="D375">
        <v>34.5</v>
      </c>
      <c r="E375">
        <v>3</v>
      </c>
      <c r="F375" t="s">
        <v>3643</v>
      </c>
    </row>
    <row r="376" spans="1:6" x14ac:dyDescent="0.3">
      <c r="A376" s="26" t="s">
        <v>1624</v>
      </c>
      <c r="B376" t="s">
        <v>1625</v>
      </c>
      <c r="C376">
        <v>0</v>
      </c>
      <c r="D376">
        <v>31</v>
      </c>
      <c r="E376">
        <v>44</v>
      </c>
      <c r="F376" t="s">
        <v>3644</v>
      </c>
    </row>
    <row r="377" spans="1:6" x14ac:dyDescent="0.3">
      <c r="A377" s="26" t="s">
        <v>1626</v>
      </c>
      <c r="B377" t="s">
        <v>1627</v>
      </c>
      <c r="C377">
        <v>10</v>
      </c>
      <c r="D377">
        <v>38</v>
      </c>
      <c r="E377">
        <v>3</v>
      </c>
      <c r="F377" t="s">
        <v>3644</v>
      </c>
    </row>
    <row r="378" spans="1:6" x14ac:dyDescent="0.3">
      <c r="A378" s="26" t="s">
        <v>3480</v>
      </c>
      <c r="B378" t="s">
        <v>3481</v>
      </c>
      <c r="C378">
        <v>0</v>
      </c>
      <c r="D378">
        <v>30</v>
      </c>
      <c r="E378">
        <v>17</v>
      </c>
      <c r="F378" t="s">
        <v>3643</v>
      </c>
    </row>
    <row r="379" spans="1:6" x14ac:dyDescent="0.3">
      <c r="A379" s="26" t="s">
        <v>3482</v>
      </c>
      <c r="B379" t="s">
        <v>3483</v>
      </c>
      <c r="C379">
        <v>6</v>
      </c>
      <c r="D379">
        <v>30</v>
      </c>
      <c r="E379">
        <v>2</v>
      </c>
      <c r="F379" t="s">
        <v>3643</v>
      </c>
    </row>
    <row r="380" spans="1:6" x14ac:dyDescent="0.3">
      <c r="A380" s="26" t="s">
        <v>3484</v>
      </c>
      <c r="B380" t="s">
        <v>1152</v>
      </c>
      <c r="C380">
        <v>1</v>
      </c>
      <c r="D380">
        <v>35</v>
      </c>
      <c r="E380">
        <v>34</v>
      </c>
      <c r="F380" t="s">
        <v>3644</v>
      </c>
    </row>
    <row r="381" spans="1:6" x14ac:dyDescent="0.3">
      <c r="A381" s="26" t="s">
        <v>3485</v>
      </c>
      <c r="B381" t="s">
        <v>383</v>
      </c>
      <c r="C381">
        <v>2</v>
      </c>
      <c r="D381">
        <v>36</v>
      </c>
      <c r="E381">
        <v>11</v>
      </c>
      <c r="F381" t="s">
        <v>3643</v>
      </c>
    </row>
    <row r="382" spans="1:6" x14ac:dyDescent="0.3">
      <c r="A382" s="26" t="s">
        <v>3486</v>
      </c>
      <c r="B382" t="s">
        <v>1153</v>
      </c>
      <c r="C382">
        <v>1.75</v>
      </c>
      <c r="D382">
        <v>35</v>
      </c>
      <c r="E382">
        <v>89</v>
      </c>
      <c r="F382" t="s">
        <v>3644</v>
      </c>
    </row>
    <row r="383" spans="1:6" x14ac:dyDescent="0.3">
      <c r="A383" s="26" t="s">
        <v>3487</v>
      </c>
      <c r="B383" t="s">
        <v>3488</v>
      </c>
      <c r="C383">
        <v>6</v>
      </c>
      <c r="D383">
        <v>28</v>
      </c>
      <c r="E383">
        <v>10</v>
      </c>
      <c r="F383" t="s">
        <v>3643</v>
      </c>
    </row>
    <row r="384" spans="1:6" x14ac:dyDescent="0.3">
      <c r="A384" s="26" t="s">
        <v>3489</v>
      </c>
      <c r="B384" t="s">
        <v>1154</v>
      </c>
      <c r="C384">
        <v>8</v>
      </c>
      <c r="D384">
        <v>30</v>
      </c>
      <c r="E384">
        <v>12</v>
      </c>
      <c r="F384" t="s">
        <v>3644</v>
      </c>
    </row>
    <row r="385" spans="1:6" x14ac:dyDescent="0.3">
      <c r="A385" s="26" t="s">
        <v>3490</v>
      </c>
      <c r="B385" t="s">
        <v>3491</v>
      </c>
      <c r="C385">
        <v>1</v>
      </c>
      <c r="D385">
        <v>30</v>
      </c>
      <c r="E385">
        <v>6</v>
      </c>
      <c r="F385" t="s">
        <v>3643</v>
      </c>
    </row>
    <row r="386" spans="1:6" x14ac:dyDescent="0.3">
      <c r="A386" s="26" t="s">
        <v>3492</v>
      </c>
      <c r="B386" t="s">
        <v>1157</v>
      </c>
      <c r="C386">
        <v>0</v>
      </c>
      <c r="D386">
        <v>31.5</v>
      </c>
      <c r="E386">
        <v>35</v>
      </c>
      <c r="F386" t="s">
        <v>3644</v>
      </c>
    </row>
    <row r="387" spans="1:6" x14ac:dyDescent="0.3">
      <c r="A387" s="26" t="s">
        <v>3493</v>
      </c>
      <c r="B387" t="s">
        <v>1155</v>
      </c>
      <c r="C387">
        <v>4</v>
      </c>
      <c r="D387">
        <v>32</v>
      </c>
      <c r="E387">
        <v>13</v>
      </c>
      <c r="F387" t="s">
        <v>3644</v>
      </c>
    </row>
    <row r="388" spans="1:6" x14ac:dyDescent="0.3">
      <c r="A388" s="26" t="s">
        <v>3494</v>
      </c>
      <c r="B388" t="s">
        <v>1156</v>
      </c>
      <c r="C388">
        <v>0</v>
      </c>
      <c r="D388">
        <v>29</v>
      </c>
      <c r="E388">
        <v>28</v>
      </c>
      <c r="F388" t="s">
        <v>3644</v>
      </c>
    </row>
    <row r="389" spans="1:6" x14ac:dyDescent="0.3">
      <c r="A389" s="26" t="s">
        <v>1628</v>
      </c>
      <c r="B389" t="s">
        <v>1629</v>
      </c>
      <c r="C389">
        <v>4</v>
      </c>
      <c r="D389">
        <v>45</v>
      </c>
      <c r="E389">
        <v>3</v>
      </c>
      <c r="F389" t="s">
        <v>3644</v>
      </c>
    </row>
    <row r="390" spans="1:6" x14ac:dyDescent="0.3">
      <c r="A390" s="26" t="s">
        <v>3495</v>
      </c>
      <c r="B390" t="s">
        <v>3496</v>
      </c>
      <c r="C390">
        <v>4.4000000000000004</v>
      </c>
      <c r="D390">
        <v>34</v>
      </c>
      <c r="E390">
        <v>6</v>
      </c>
      <c r="F390" t="s">
        <v>3643</v>
      </c>
    </row>
    <row r="391" spans="1:6" x14ac:dyDescent="0.3">
      <c r="A391" s="26" t="s">
        <v>3497</v>
      </c>
      <c r="B391" t="s">
        <v>3498</v>
      </c>
      <c r="C391">
        <v>2.5</v>
      </c>
      <c r="D391">
        <v>37</v>
      </c>
      <c r="E391">
        <v>14</v>
      </c>
      <c r="F391" t="s">
        <v>3643</v>
      </c>
    </row>
    <row r="392" spans="1:6" x14ac:dyDescent="0.3">
      <c r="A392" s="26" t="s">
        <v>1630</v>
      </c>
      <c r="B392" t="s">
        <v>1631</v>
      </c>
      <c r="C392">
        <v>4</v>
      </c>
      <c r="D392">
        <v>34</v>
      </c>
      <c r="E392">
        <v>25</v>
      </c>
      <c r="F392" t="s">
        <v>3644</v>
      </c>
    </row>
    <row r="393" spans="1:6" x14ac:dyDescent="0.3">
      <c r="A393" s="26" t="s">
        <v>3499</v>
      </c>
      <c r="B393" t="s">
        <v>3500</v>
      </c>
      <c r="C393">
        <v>5</v>
      </c>
      <c r="D393">
        <v>34</v>
      </c>
      <c r="E393">
        <v>3</v>
      </c>
      <c r="F393" t="s">
        <v>3643</v>
      </c>
    </row>
    <row r="394" spans="1:6" x14ac:dyDescent="0.3">
      <c r="A394" s="26" t="s">
        <v>1632</v>
      </c>
      <c r="B394" t="s">
        <v>1381</v>
      </c>
      <c r="C394">
        <v>4</v>
      </c>
      <c r="D394">
        <v>33</v>
      </c>
      <c r="E394">
        <v>11</v>
      </c>
      <c r="F394" t="s">
        <v>3644</v>
      </c>
    </row>
    <row r="395" spans="1:6" x14ac:dyDescent="0.3">
      <c r="A395" s="26" t="s">
        <v>3501</v>
      </c>
      <c r="B395" t="s">
        <v>1159</v>
      </c>
      <c r="C395">
        <v>7.5</v>
      </c>
      <c r="D395">
        <v>35</v>
      </c>
      <c r="E395">
        <v>3</v>
      </c>
      <c r="F395" t="s">
        <v>3644</v>
      </c>
    </row>
    <row r="396" spans="1:6" x14ac:dyDescent="0.3">
      <c r="A396" s="26" t="s">
        <v>3502</v>
      </c>
      <c r="B396" t="s">
        <v>1160</v>
      </c>
      <c r="C396">
        <v>8.5</v>
      </c>
      <c r="D396">
        <v>37</v>
      </c>
      <c r="E396">
        <v>6</v>
      </c>
      <c r="F396" t="s">
        <v>3644</v>
      </c>
    </row>
    <row r="397" spans="1:6" x14ac:dyDescent="0.3">
      <c r="A397" s="26" t="s">
        <v>3503</v>
      </c>
      <c r="B397" t="s">
        <v>1161</v>
      </c>
      <c r="C397">
        <v>8.5</v>
      </c>
      <c r="D397">
        <v>39</v>
      </c>
      <c r="E397">
        <v>69</v>
      </c>
      <c r="F397" t="s">
        <v>3644</v>
      </c>
    </row>
    <row r="398" spans="1:6" x14ac:dyDescent="0.3">
      <c r="A398" s="26" t="s">
        <v>3504</v>
      </c>
      <c r="B398" t="s">
        <v>3505</v>
      </c>
      <c r="C398">
        <v>8.5</v>
      </c>
      <c r="D398">
        <v>36.5</v>
      </c>
      <c r="E398">
        <v>4</v>
      </c>
      <c r="F398" t="s">
        <v>3643</v>
      </c>
    </row>
    <row r="399" spans="1:6" x14ac:dyDescent="0.3">
      <c r="A399" s="26" t="s">
        <v>1633</v>
      </c>
      <c r="B399" t="s">
        <v>1634</v>
      </c>
      <c r="C399">
        <v>5</v>
      </c>
      <c r="D399">
        <v>45</v>
      </c>
      <c r="E399">
        <v>26</v>
      </c>
      <c r="F399" t="s">
        <v>3644</v>
      </c>
    </row>
    <row r="400" spans="1:6" x14ac:dyDescent="0.3">
      <c r="A400" s="26" t="s">
        <v>1635</v>
      </c>
      <c r="B400" t="s">
        <v>1636</v>
      </c>
      <c r="C400">
        <v>4</v>
      </c>
      <c r="D400">
        <v>42</v>
      </c>
      <c r="E400">
        <v>9</v>
      </c>
      <c r="F400" t="s">
        <v>3644</v>
      </c>
    </row>
    <row r="401" spans="1:6" x14ac:dyDescent="0.3">
      <c r="A401" s="26" t="s">
        <v>3506</v>
      </c>
      <c r="B401" t="s">
        <v>3507</v>
      </c>
      <c r="C401">
        <v>6</v>
      </c>
      <c r="D401">
        <v>38.799999999999997</v>
      </c>
      <c r="E401">
        <v>9</v>
      </c>
      <c r="F401" t="s">
        <v>3643</v>
      </c>
    </row>
    <row r="402" spans="1:6" x14ac:dyDescent="0.3">
      <c r="A402" s="26" t="s">
        <v>3508</v>
      </c>
      <c r="B402" t="s">
        <v>3509</v>
      </c>
      <c r="C402">
        <v>3.5</v>
      </c>
      <c r="D402">
        <v>36</v>
      </c>
      <c r="E402">
        <v>3</v>
      </c>
      <c r="F402" t="s">
        <v>3643</v>
      </c>
    </row>
    <row r="403" spans="1:6" x14ac:dyDescent="0.3">
      <c r="A403" s="26" t="s">
        <v>1637</v>
      </c>
      <c r="B403" t="s">
        <v>1638</v>
      </c>
      <c r="C403">
        <v>7</v>
      </c>
      <c r="D403">
        <v>35</v>
      </c>
      <c r="E403">
        <v>6</v>
      </c>
      <c r="F403" t="s">
        <v>3644</v>
      </c>
    </row>
    <row r="404" spans="1:6" x14ac:dyDescent="0.3">
      <c r="A404" s="26" t="s">
        <v>1639</v>
      </c>
      <c r="B404" t="s">
        <v>1640</v>
      </c>
      <c r="C404">
        <v>8</v>
      </c>
      <c r="D404">
        <v>38.5</v>
      </c>
      <c r="E404">
        <v>3</v>
      </c>
      <c r="F404" t="s">
        <v>3644</v>
      </c>
    </row>
    <row r="405" spans="1:6" x14ac:dyDescent="0.3">
      <c r="A405" s="26" t="s">
        <v>3510</v>
      </c>
      <c r="B405" t="s">
        <v>3511</v>
      </c>
      <c r="C405">
        <v>0</v>
      </c>
      <c r="D405">
        <v>27.2</v>
      </c>
      <c r="E405">
        <v>3</v>
      </c>
      <c r="F405" t="s">
        <v>3643</v>
      </c>
    </row>
    <row r="406" spans="1:6" x14ac:dyDescent="0.3">
      <c r="A406" s="26" t="s">
        <v>3512</v>
      </c>
      <c r="B406" t="s">
        <v>383</v>
      </c>
      <c r="C406">
        <v>4</v>
      </c>
      <c r="D406">
        <v>27</v>
      </c>
      <c r="E406">
        <v>3</v>
      </c>
      <c r="F406" t="s">
        <v>3643</v>
      </c>
    </row>
    <row r="407" spans="1:6" x14ac:dyDescent="0.3">
      <c r="A407" s="26" t="s">
        <v>1641</v>
      </c>
      <c r="B407" t="s">
        <v>1642</v>
      </c>
      <c r="C407">
        <v>0</v>
      </c>
      <c r="D407">
        <v>37</v>
      </c>
      <c r="E407">
        <v>7</v>
      </c>
      <c r="F407" t="s">
        <v>3644</v>
      </c>
    </row>
    <row r="408" spans="1:6" x14ac:dyDescent="0.3">
      <c r="A408" s="26" t="s">
        <v>3513</v>
      </c>
      <c r="B408" t="s">
        <v>3514</v>
      </c>
      <c r="C408">
        <v>4.4000000000000004</v>
      </c>
      <c r="D408">
        <v>32.5</v>
      </c>
      <c r="E408">
        <v>12</v>
      </c>
      <c r="F408" t="s">
        <v>3643</v>
      </c>
    </row>
    <row r="409" spans="1:6" x14ac:dyDescent="0.3">
      <c r="A409" s="26" t="s">
        <v>3515</v>
      </c>
      <c r="B409" t="s">
        <v>3516</v>
      </c>
      <c r="C409">
        <v>0</v>
      </c>
      <c r="D409">
        <v>30</v>
      </c>
      <c r="E409">
        <v>6</v>
      </c>
      <c r="F409" t="s">
        <v>3643</v>
      </c>
    </row>
    <row r="410" spans="1:6" x14ac:dyDescent="0.3">
      <c r="A410" s="26" t="s">
        <v>3517</v>
      </c>
      <c r="B410" t="s">
        <v>3518</v>
      </c>
      <c r="C410">
        <v>12</v>
      </c>
      <c r="D410">
        <v>22</v>
      </c>
      <c r="E410">
        <v>3</v>
      </c>
      <c r="F410" t="s">
        <v>3643</v>
      </c>
    </row>
    <row r="411" spans="1:6" x14ac:dyDescent="0.3">
      <c r="A411" s="26" t="s">
        <v>1643</v>
      </c>
      <c r="B411" t="s">
        <v>1644</v>
      </c>
      <c r="C411">
        <v>10</v>
      </c>
      <c r="D411">
        <v>41</v>
      </c>
      <c r="E411">
        <v>6</v>
      </c>
      <c r="F411" t="s">
        <v>3644</v>
      </c>
    </row>
    <row r="412" spans="1:6" x14ac:dyDescent="0.3">
      <c r="A412" s="26" t="s">
        <v>3519</v>
      </c>
      <c r="B412" t="s">
        <v>1165</v>
      </c>
      <c r="C412">
        <v>1</v>
      </c>
      <c r="D412">
        <v>43</v>
      </c>
      <c r="E412">
        <v>148</v>
      </c>
      <c r="F412" t="s">
        <v>3644</v>
      </c>
    </row>
    <row r="413" spans="1:6" x14ac:dyDescent="0.3">
      <c r="A413" s="26" t="s">
        <v>3520</v>
      </c>
      <c r="B413" t="s">
        <v>1168</v>
      </c>
      <c r="C413">
        <v>18</v>
      </c>
      <c r="D413">
        <v>49</v>
      </c>
      <c r="E413">
        <v>13</v>
      </c>
      <c r="F413" t="s">
        <v>3644</v>
      </c>
    </row>
    <row r="414" spans="1:6" x14ac:dyDescent="0.3">
      <c r="A414" s="26" t="s">
        <v>3521</v>
      </c>
      <c r="B414" t="s">
        <v>383</v>
      </c>
      <c r="C414">
        <v>15</v>
      </c>
      <c r="D414">
        <v>48</v>
      </c>
      <c r="E414">
        <v>6</v>
      </c>
      <c r="F414" t="s">
        <v>3643</v>
      </c>
    </row>
    <row r="415" spans="1:6" x14ac:dyDescent="0.3">
      <c r="A415" s="26" t="s">
        <v>3522</v>
      </c>
      <c r="B415" t="s">
        <v>1171</v>
      </c>
      <c r="C415">
        <v>1.5</v>
      </c>
      <c r="D415">
        <v>48</v>
      </c>
      <c r="E415">
        <v>318</v>
      </c>
      <c r="F415" t="s">
        <v>3644</v>
      </c>
    </row>
    <row r="416" spans="1:6" x14ac:dyDescent="0.3">
      <c r="A416" s="26" t="s">
        <v>3523</v>
      </c>
      <c r="B416" t="s">
        <v>3524</v>
      </c>
      <c r="C416">
        <v>1.5</v>
      </c>
      <c r="D416">
        <v>38</v>
      </c>
      <c r="E416">
        <v>21</v>
      </c>
      <c r="F416" t="s">
        <v>3643</v>
      </c>
    </row>
    <row r="417" spans="1:6" x14ac:dyDescent="0.3">
      <c r="A417" s="26" t="s">
        <v>3525</v>
      </c>
      <c r="B417" t="s">
        <v>1382</v>
      </c>
      <c r="C417">
        <v>1.5</v>
      </c>
      <c r="D417">
        <v>52</v>
      </c>
      <c r="E417">
        <v>38</v>
      </c>
      <c r="F417" t="s">
        <v>3644</v>
      </c>
    </row>
    <row r="418" spans="1:6" x14ac:dyDescent="0.3">
      <c r="A418" s="26" t="s">
        <v>3526</v>
      </c>
      <c r="B418" t="s">
        <v>3527</v>
      </c>
      <c r="C418">
        <v>14</v>
      </c>
      <c r="D418">
        <v>42</v>
      </c>
      <c r="E418">
        <v>8</v>
      </c>
      <c r="F418" t="s">
        <v>3643</v>
      </c>
    </row>
    <row r="419" spans="1:6" x14ac:dyDescent="0.3">
      <c r="A419" s="26" t="s">
        <v>3528</v>
      </c>
      <c r="B419" t="s">
        <v>1172</v>
      </c>
      <c r="C419">
        <v>1</v>
      </c>
      <c r="D419">
        <v>41</v>
      </c>
      <c r="E419">
        <v>208</v>
      </c>
      <c r="F419" t="s">
        <v>3644</v>
      </c>
    </row>
    <row r="420" spans="1:6" x14ac:dyDescent="0.3">
      <c r="A420" s="26" t="s">
        <v>3529</v>
      </c>
      <c r="B420" t="s">
        <v>3530</v>
      </c>
      <c r="C420">
        <v>16</v>
      </c>
      <c r="D420">
        <v>32</v>
      </c>
      <c r="E420">
        <v>3</v>
      </c>
      <c r="F420" t="s">
        <v>3643</v>
      </c>
    </row>
    <row r="421" spans="1:6" x14ac:dyDescent="0.3">
      <c r="A421" s="26" t="s">
        <v>3531</v>
      </c>
      <c r="B421" t="s">
        <v>3532</v>
      </c>
      <c r="C421">
        <v>16.5</v>
      </c>
      <c r="D421">
        <v>44</v>
      </c>
      <c r="E421">
        <v>6</v>
      </c>
      <c r="F421" t="s">
        <v>3643</v>
      </c>
    </row>
    <row r="422" spans="1:6" x14ac:dyDescent="0.3">
      <c r="A422" s="26" t="s">
        <v>3533</v>
      </c>
      <c r="B422" t="s">
        <v>3534</v>
      </c>
      <c r="C422">
        <v>16</v>
      </c>
      <c r="D422">
        <v>34</v>
      </c>
      <c r="E422">
        <v>3</v>
      </c>
      <c r="F422" t="s">
        <v>3643</v>
      </c>
    </row>
    <row r="423" spans="1:6" x14ac:dyDescent="0.3">
      <c r="A423" s="26" t="s">
        <v>3535</v>
      </c>
      <c r="B423" t="s">
        <v>383</v>
      </c>
      <c r="C423">
        <v>16</v>
      </c>
      <c r="D423">
        <v>32</v>
      </c>
      <c r="E423">
        <v>3</v>
      </c>
      <c r="F423" t="s">
        <v>3643</v>
      </c>
    </row>
    <row r="424" spans="1:6" x14ac:dyDescent="0.3">
      <c r="A424" s="26" t="s">
        <v>3536</v>
      </c>
      <c r="B424" t="s">
        <v>3537</v>
      </c>
      <c r="C424">
        <v>1.5</v>
      </c>
      <c r="D424">
        <v>32.5</v>
      </c>
      <c r="E424">
        <v>6</v>
      </c>
      <c r="F424" t="s">
        <v>3643</v>
      </c>
    </row>
    <row r="425" spans="1:6" x14ac:dyDescent="0.3">
      <c r="A425" s="26" t="s">
        <v>3538</v>
      </c>
      <c r="B425" t="s">
        <v>1193</v>
      </c>
      <c r="C425">
        <v>4</v>
      </c>
      <c r="D425">
        <v>45</v>
      </c>
      <c r="E425">
        <v>11</v>
      </c>
      <c r="F425" t="s">
        <v>3644</v>
      </c>
    </row>
    <row r="426" spans="1:6" x14ac:dyDescent="0.3">
      <c r="A426" s="26" t="s">
        <v>1645</v>
      </c>
      <c r="B426" t="s">
        <v>1646</v>
      </c>
      <c r="C426">
        <v>5</v>
      </c>
      <c r="D426">
        <v>38</v>
      </c>
      <c r="E426">
        <v>69</v>
      </c>
      <c r="F426" t="s">
        <v>3644</v>
      </c>
    </row>
    <row r="427" spans="1:6" x14ac:dyDescent="0.3">
      <c r="A427" s="26" t="s">
        <v>1647</v>
      </c>
      <c r="B427" t="s">
        <v>1648</v>
      </c>
      <c r="C427">
        <v>0</v>
      </c>
      <c r="D427">
        <v>32.5</v>
      </c>
      <c r="E427">
        <v>11</v>
      </c>
      <c r="F427" t="s">
        <v>3644</v>
      </c>
    </row>
    <row r="428" spans="1:6" x14ac:dyDescent="0.3">
      <c r="A428" s="26" t="s">
        <v>3539</v>
      </c>
      <c r="B428" t="s">
        <v>3540</v>
      </c>
      <c r="C428">
        <v>19</v>
      </c>
      <c r="D428">
        <v>25</v>
      </c>
      <c r="E428">
        <v>3</v>
      </c>
      <c r="F428" t="s">
        <v>3643</v>
      </c>
    </row>
    <row r="429" spans="1:6" x14ac:dyDescent="0.3">
      <c r="A429" s="26" t="s">
        <v>3541</v>
      </c>
      <c r="B429" t="s">
        <v>3542</v>
      </c>
      <c r="C429">
        <v>12</v>
      </c>
      <c r="D429">
        <v>35</v>
      </c>
      <c r="E429">
        <v>3</v>
      </c>
      <c r="F429" t="s">
        <v>3643</v>
      </c>
    </row>
    <row r="430" spans="1:6" x14ac:dyDescent="0.3">
      <c r="A430" s="26" t="s">
        <v>3543</v>
      </c>
      <c r="B430" t="s">
        <v>1199</v>
      </c>
      <c r="C430">
        <v>0</v>
      </c>
      <c r="D430">
        <v>37</v>
      </c>
      <c r="E430">
        <v>48</v>
      </c>
      <c r="F430" t="s">
        <v>3644</v>
      </c>
    </row>
    <row r="431" spans="1:6" x14ac:dyDescent="0.3">
      <c r="A431" s="26" t="s">
        <v>3544</v>
      </c>
      <c r="B431" t="s">
        <v>383</v>
      </c>
      <c r="C431">
        <v>5</v>
      </c>
      <c r="D431">
        <v>30</v>
      </c>
      <c r="E431">
        <v>3</v>
      </c>
      <c r="F431" t="s">
        <v>3643</v>
      </c>
    </row>
    <row r="432" spans="1:6" x14ac:dyDescent="0.3">
      <c r="A432" s="26" t="s">
        <v>3545</v>
      </c>
      <c r="B432" t="s">
        <v>3546</v>
      </c>
      <c r="C432">
        <v>10</v>
      </c>
      <c r="D432">
        <v>27</v>
      </c>
      <c r="E432">
        <v>8</v>
      </c>
      <c r="F432" t="s">
        <v>3643</v>
      </c>
    </row>
    <row r="433" spans="1:6" x14ac:dyDescent="0.3">
      <c r="A433" s="26" t="s">
        <v>3547</v>
      </c>
      <c r="B433" t="s">
        <v>383</v>
      </c>
      <c r="C433">
        <v>6</v>
      </c>
      <c r="D433">
        <v>32</v>
      </c>
      <c r="E433">
        <v>9</v>
      </c>
      <c r="F433" t="s">
        <v>3643</v>
      </c>
    </row>
    <row r="434" spans="1:6" x14ac:dyDescent="0.3">
      <c r="A434" s="26" t="s">
        <v>3548</v>
      </c>
      <c r="B434" t="s">
        <v>3549</v>
      </c>
      <c r="C434">
        <v>9</v>
      </c>
      <c r="D434">
        <v>35</v>
      </c>
      <c r="E434">
        <v>3</v>
      </c>
      <c r="F434" t="s">
        <v>3643</v>
      </c>
    </row>
    <row r="435" spans="1:6" x14ac:dyDescent="0.3">
      <c r="A435" s="26" t="s">
        <v>3550</v>
      </c>
      <c r="B435" t="s">
        <v>3551</v>
      </c>
      <c r="C435">
        <v>8.25</v>
      </c>
      <c r="D435">
        <v>32</v>
      </c>
      <c r="E435">
        <v>6</v>
      </c>
      <c r="F435" t="s">
        <v>3643</v>
      </c>
    </row>
    <row r="436" spans="1:6" x14ac:dyDescent="0.3">
      <c r="A436" s="26" t="s">
        <v>3552</v>
      </c>
      <c r="B436" t="s">
        <v>383</v>
      </c>
      <c r="C436">
        <v>3</v>
      </c>
      <c r="D436">
        <v>32</v>
      </c>
      <c r="E436">
        <v>7</v>
      </c>
      <c r="F436" t="s">
        <v>3643</v>
      </c>
    </row>
    <row r="437" spans="1:6" x14ac:dyDescent="0.3">
      <c r="A437" s="26" t="s">
        <v>3553</v>
      </c>
      <c r="B437" t="s">
        <v>3554</v>
      </c>
      <c r="C437">
        <v>1.7</v>
      </c>
      <c r="D437">
        <v>34.4</v>
      </c>
      <c r="E437">
        <v>6</v>
      </c>
      <c r="F437" t="s">
        <v>3643</v>
      </c>
    </row>
    <row r="438" spans="1:6" x14ac:dyDescent="0.3">
      <c r="A438" s="26" t="s">
        <v>3555</v>
      </c>
      <c r="B438" t="s">
        <v>3556</v>
      </c>
      <c r="C438">
        <v>7.5</v>
      </c>
      <c r="D438">
        <v>36</v>
      </c>
      <c r="E438">
        <v>6</v>
      </c>
      <c r="F438" t="s">
        <v>3643</v>
      </c>
    </row>
    <row r="439" spans="1:6" x14ac:dyDescent="0.3">
      <c r="A439" s="26" t="s">
        <v>3557</v>
      </c>
      <c r="B439" t="s">
        <v>3558</v>
      </c>
      <c r="C439">
        <v>8.25</v>
      </c>
      <c r="D439">
        <v>32</v>
      </c>
      <c r="E439">
        <v>6</v>
      </c>
      <c r="F439" t="s">
        <v>3643</v>
      </c>
    </row>
    <row r="440" spans="1:6" x14ac:dyDescent="0.3">
      <c r="A440" s="26" t="s">
        <v>1649</v>
      </c>
      <c r="B440" t="s">
        <v>1650</v>
      </c>
      <c r="C440">
        <v>3</v>
      </c>
      <c r="D440">
        <v>36</v>
      </c>
      <c r="E440">
        <v>25</v>
      </c>
      <c r="F440" t="s">
        <v>3644</v>
      </c>
    </row>
    <row r="441" spans="1:6" x14ac:dyDescent="0.3">
      <c r="A441" s="26" t="s">
        <v>3559</v>
      </c>
      <c r="B441" t="s">
        <v>1200</v>
      </c>
      <c r="C441">
        <v>3</v>
      </c>
      <c r="D441">
        <v>32</v>
      </c>
      <c r="E441">
        <v>23</v>
      </c>
      <c r="F441" t="s">
        <v>3644</v>
      </c>
    </row>
    <row r="442" spans="1:6" x14ac:dyDescent="0.3">
      <c r="A442" s="26" t="s">
        <v>3560</v>
      </c>
      <c r="B442" t="s">
        <v>3561</v>
      </c>
      <c r="C442">
        <v>19</v>
      </c>
      <c r="D442">
        <v>36</v>
      </c>
      <c r="E442">
        <v>3</v>
      </c>
      <c r="F442" t="s">
        <v>3643</v>
      </c>
    </row>
    <row r="443" spans="1:6" x14ac:dyDescent="0.3">
      <c r="A443" s="26" t="s">
        <v>3562</v>
      </c>
      <c r="B443" t="s">
        <v>3563</v>
      </c>
      <c r="C443">
        <v>3.5</v>
      </c>
      <c r="D443">
        <v>37.9</v>
      </c>
      <c r="E443">
        <v>3</v>
      </c>
      <c r="F443" t="s">
        <v>3643</v>
      </c>
    </row>
    <row r="444" spans="1:6" x14ac:dyDescent="0.3">
      <c r="A444" s="26" t="s">
        <v>3564</v>
      </c>
      <c r="B444" t="s">
        <v>3565</v>
      </c>
      <c r="C444">
        <v>-1</v>
      </c>
      <c r="D444">
        <v>36</v>
      </c>
      <c r="E444">
        <v>4</v>
      </c>
      <c r="F444" t="s">
        <v>3643</v>
      </c>
    </row>
    <row r="445" spans="1:6" x14ac:dyDescent="0.3">
      <c r="A445" s="26" t="s">
        <v>3566</v>
      </c>
      <c r="B445" t="s">
        <v>3567</v>
      </c>
      <c r="C445">
        <v>16</v>
      </c>
      <c r="D445">
        <v>31</v>
      </c>
      <c r="E445">
        <v>3</v>
      </c>
      <c r="F445" t="s">
        <v>3643</v>
      </c>
    </row>
    <row r="446" spans="1:6" x14ac:dyDescent="0.3">
      <c r="A446" s="26" t="s">
        <v>3568</v>
      </c>
      <c r="B446" t="s">
        <v>3569</v>
      </c>
      <c r="C446">
        <v>2</v>
      </c>
      <c r="D446">
        <v>34.5</v>
      </c>
      <c r="E446">
        <v>3</v>
      </c>
      <c r="F446" t="s">
        <v>3643</v>
      </c>
    </row>
    <row r="447" spans="1:6" x14ac:dyDescent="0.3">
      <c r="A447" s="26" t="s">
        <v>3570</v>
      </c>
      <c r="B447" t="s">
        <v>3571</v>
      </c>
      <c r="C447">
        <v>12</v>
      </c>
      <c r="D447">
        <v>42</v>
      </c>
      <c r="E447">
        <v>10</v>
      </c>
      <c r="F447" t="s">
        <v>3643</v>
      </c>
    </row>
    <row r="448" spans="1:6" x14ac:dyDescent="0.3">
      <c r="A448" s="26" t="s">
        <v>3572</v>
      </c>
      <c r="B448" t="s">
        <v>3573</v>
      </c>
      <c r="C448">
        <v>7.5</v>
      </c>
      <c r="D448">
        <v>37.5</v>
      </c>
      <c r="E448">
        <v>6</v>
      </c>
      <c r="F448" t="s">
        <v>3643</v>
      </c>
    </row>
    <row r="449" spans="1:6" x14ac:dyDescent="0.3">
      <c r="A449" s="26" t="s">
        <v>1651</v>
      </c>
      <c r="B449" t="s">
        <v>1652</v>
      </c>
      <c r="C449">
        <v>16</v>
      </c>
      <c r="D449">
        <v>36</v>
      </c>
      <c r="E449">
        <v>6</v>
      </c>
      <c r="F449" t="s">
        <v>3644</v>
      </c>
    </row>
    <row r="450" spans="1:6" x14ac:dyDescent="0.3">
      <c r="A450" s="26" t="s">
        <v>1653</v>
      </c>
      <c r="B450" t="s">
        <v>1654</v>
      </c>
      <c r="C450">
        <v>10</v>
      </c>
      <c r="D450">
        <v>35</v>
      </c>
      <c r="E450">
        <v>8</v>
      </c>
      <c r="F450" t="s">
        <v>3644</v>
      </c>
    </row>
    <row r="451" spans="1:6" x14ac:dyDescent="0.3">
      <c r="A451" s="26" t="s">
        <v>3574</v>
      </c>
      <c r="B451" t="s">
        <v>3575</v>
      </c>
      <c r="C451">
        <v>15</v>
      </c>
      <c r="D451">
        <v>30</v>
      </c>
      <c r="E451">
        <v>3</v>
      </c>
      <c r="F451" t="s">
        <v>3643</v>
      </c>
    </row>
    <row r="452" spans="1:6" x14ac:dyDescent="0.3">
      <c r="A452" s="26" t="s">
        <v>3576</v>
      </c>
      <c r="B452" t="s">
        <v>3577</v>
      </c>
      <c r="C452">
        <v>10</v>
      </c>
      <c r="D452">
        <v>35</v>
      </c>
      <c r="E452">
        <v>8</v>
      </c>
      <c r="F452" t="s">
        <v>3643</v>
      </c>
    </row>
    <row r="453" spans="1:6" x14ac:dyDescent="0.3">
      <c r="A453" s="26" t="s">
        <v>1655</v>
      </c>
      <c r="B453" t="s">
        <v>1656</v>
      </c>
      <c r="C453">
        <v>0</v>
      </c>
      <c r="D453">
        <v>37</v>
      </c>
      <c r="E453">
        <v>6</v>
      </c>
      <c r="F453" t="s">
        <v>3644</v>
      </c>
    </row>
    <row r="454" spans="1:6" x14ac:dyDescent="0.3">
      <c r="A454" s="26" t="s">
        <v>3578</v>
      </c>
      <c r="B454" t="s">
        <v>3579</v>
      </c>
      <c r="C454">
        <v>6.5</v>
      </c>
      <c r="D454">
        <v>37</v>
      </c>
      <c r="E454">
        <v>9</v>
      </c>
      <c r="F454" t="s">
        <v>3643</v>
      </c>
    </row>
    <row r="455" spans="1:6" x14ac:dyDescent="0.3">
      <c r="A455" s="26" t="s">
        <v>1657</v>
      </c>
      <c r="B455" t="s">
        <v>1658</v>
      </c>
      <c r="C455">
        <v>10</v>
      </c>
      <c r="D455">
        <v>40</v>
      </c>
      <c r="E455">
        <v>24</v>
      </c>
      <c r="F455" t="s">
        <v>3644</v>
      </c>
    </row>
    <row r="456" spans="1:6" x14ac:dyDescent="0.3">
      <c r="A456" s="26" t="s">
        <v>3580</v>
      </c>
      <c r="B456" t="s">
        <v>1203</v>
      </c>
      <c r="C456">
        <v>3</v>
      </c>
      <c r="D456">
        <v>35</v>
      </c>
      <c r="E456">
        <v>8</v>
      </c>
      <c r="F456" t="s">
        <v>3644</v>
      </c>
    </row>
    <row r="457" spans="1:6" x14ac:dyDescent="0.3">
      <c r="A457" s="26" t="s">
        <v>3581</v>
      </c>
      <c r="B457" t="s">
        <v>383</v>
      </c>
      <c r="C457">
        <v>8</v>
      </c>
      <c r="D457">
        <v>38</v>
      </c>
      <c r="E457">
        <v>3</v>
      </c>
      <c r="F457" t="s">
        <v>3643</v>
      </c>
    </row>
    <row r="458" spans="1:6" x14ac:dyDescent="0.3">
      <c r="A458" s="26" t="s">
        <v>1659</v>
      </c>
      <c r="B458" t="s">
        <v>1660</v>
      </c>
      <c r="C458">
        <v>4</v>
      </c>
      <c r="D458">
        <v>37.5</v>
      </c>
      <c r="E458">
        <v>3</v>
      </c>
      <c r="F458" t="s">
        <v>3644</v>
      </c>
    </row>
    <row r="459" spans="1:6" x14ac:dyDescent="0.3">
      <c r="A459" s="26" t="s">
        <v>3582</v>
      </c>
      <c r="B459" t="s">
        <v>3583</v>
      </c>
      <c r="C459">
        <v>8</v>
      </c>
      <c r="D459">
        <v>39</v>
      </c>
      <c r="E459">
        <v>6</v>
      </c>
      <c r="F459" t="s">
        <v>3643</v>
      </c>
    </row>
    <row r="460" spans="1:6" x14ac:dyDescent="0.3">
      <c r="A460" s="26" t="s">
        <v>1661</v>
      </c>
      <c r="B460" t="s">
        <v>1662</v>
      </c>
      <c r="C460">
        <v>5</v>
      </c>
      <c r="D460">
        <v>29</v>
      </c>
      <c r="E460">
        <v>23</v>
      </c>
      <c r="F460" t="s">
        <v>3644</v>
      </c>
    </row>
    <row r="461" spans="1:6" x14ac:dyDescent="0.3">
      <c r="A461" s="26" t="s">
        <v>3584</v>
      </c>
      <c r="B461" t="s">
        <v>3585</v>
      </c>
      <c r="C461">
        <v>0</v>
      </c>
      <c r="D461">
        <v>35</v>
      </c>
      <c r="E461">
        <v>3</v>
      </c>
      <c r="F461" t="s">
        <v>3643</v>
      </c>
    </row>
    <row r="462" spans="1:6" x14ac:dyDescent="0.3">
      <c r="A462" s="26" t="s">
        <v>3586</v>
      </c>
      <c r="B462" t="s">
        <v>3587</v>
      </c>
      <c r="C462">
        <v>0</v>
      </c>
      <c r="D462">
        <v>33</v>
      </c>
      <c r="E462">
        <v>11</v>
      </c>
      <c r="F462" t="s">
        <v>3643</v>
      </c>
    </row>
    <row r="463" spans="1:6" x14ac:dyDescent="0.3">
      <c r="A463" s="26" t="s">
        <v>1663</v>
      </c>
      <c r="B463" t="s">
        <v>1387</v>
      </c>
      <c r="C463">
        <v>0</v>
      </c>
      <c r="D463">
        <v>30</v>
      </c>
      <c r="E463">
        <v>18</v>
      </c>
      <c r="F463" t="s">
        <v>3644</v>
      </c>
    </row>
    <row r="464" spans="1:6" x14ac:dyDescent="0.3">
      <c r="A464" s="26" t="s">
        <v>3588</v>
      </c>
      <c r="B464" t="s">
        <v>3589</v>
      </c>
      <c r="C464">
        <v>5</v>
      </c>
      <c r="D464">
        <v>30</v>
      </c>
      <c r="E464">
        <v>3</v>
      </c>
      <c r="F464" t="s">
        <v>3643</v>
      </c>
    </row>
    <row r="465" spans="1:6" x14ac:dyDescent="0.3">
      <c r="A465" s="26" t="s">
        <v>1664</v>
      </c>
      <c r="B465" t="s">
        <v>1665</v>
      </c>
      <c r="C465">
        <v>5</v>
      </c>
      <c r="D465">
        <v>30</v>
      </c>
      <c r="E465">
        <v>3</v>
      </c>
      <c r="F465" t="s">
        <v>3644</v>
      </c>
    </row>
    <row r="466" spans="1:6" x14ac:dyDescent="0.3">
      <c r="A466" s="26" t="s">
        <v>1666</v>
      </c>
      <c r="B466" t="s">
        <v>1667</v>
      </c>
      <c r="C466">
        <v>15</v>
      </c>
      <c r="D466">
        <v>40</v>
      </c>
      <c r="E466">
        <v>3</v>
      </c>
      <c r="F466" t="s">
        <v>3644</v>
      </c>
    </row>
    <row r="467" spans="1:6" x14ac:dyDescent="0.3">
      <c r="A467" s="26" t="s">
        <v>3590</v>
      </c>
      <c r="B467" t="s">
        <v>3591</v>
      </c>
      <c r="C467">
        <v>8.5</v>
      </c>
      <c r="D467">
        <v>28.5</v>
      </c>
      <c r="E467">
        <v>3</v>
      </c>
      <c r="F467" t="s">
        <v>3643</v>
      </c>
    </row>
    <row r="468" spans="1:6" x14ac:dyDescent="0.3">
      <c r="A468" s="26" t="s">
        <v>1668</v>
      </c>
      <c r="B468" t="s">
        <v>1389</v>
      </c>
      <c r="C468">
        <v>8.5</v>
      </c>
      <c r="D468">
        <v>28</v>
      </c>
      <c r="E468">
        <v>5</v>
      </c>
      <c r="F468" t="s">
        <v>3644</v>
      </c>
    </row>
    <row r="469" spans="1:6" x14ac:dyDescent="0.3">
      <c r="A469" s="26" t="s">
        <v>3592</v>
      </c>
      <c r="B469" t="s">
        <v>3593</v>
      </c>
      <c r="C469">
        <v>18</v>
      </c>
      <c r="D469">
        <v>30</v>
      </c>
      <c r="E469">
        <v>3</v>
      </c>
      <c r="F469" t="s">
        <v>3643</v>
      </c>
    </row>
    <row r="470" spans="1:6" x14ac:dyDescent="0.3">
      <c r="A470" s="26" t="s">
        <v>3594</v>
      </c>
      <c r="B470" t="s">
        <v>3595</v>
      </c>
      <c r="C470">
        <v>4</v>
      </c>
      <c r="D470">
        <v>35</v>
      </c>
      <c r="E470">
        <v>9</v>
      </c>
      <c r="F470" t="s">
        <v>3643</v>
      </c>
    </row>
    <row r="471" spans="1:6" x14ac:dyDescent="0.3">
      <c r="A471" s="26" t="s">
        <v>3596</v>
      </c>
      <c r="B471" t="s">
        <v>3597</v>
      </c>
      <c r="C471">
        <v>19</v>
      </c>
      <c r="D471">
        <v>40</v>
      </c>
      <c r="E471">
        <v>4</v>
      </c>
      <c r="F471" t="s">
        <v>3643</v>
      </c>
    </row>
    <row r="472" spans="1:6" x14ac:dyDescent="0.3">
      <c r="A472" s="26" t="s">
        <v>1669</v>
      </c>
      <c r="B472" t="s">
        <v>1670</v>
      </c>
      <c r="C472">
        <v>4</v>
      </c>
      <c r="D472">
        <v>36</v>
      </c>
      <c r="E472">
        <v>12</v>
      </c>
      <c r="F472" t="s">
        <v>3644</v>
      </c>
    </row>
    <row r="473" spans="1:6" x14ac:dyDescent="0.3">
      <c r="A473" s="26" t="s">
        <v>1671</v>
      </c>
      <c r="B473" t="s">
        <v>1672</v>
      </c>
      <c r="C473">
        <v>0</v>
      </c>
      <c r="D473">
        <v>35</v>
      </c>
      <c r="E473">
        <v>40</v>
      </c>
      <c r="F473" t="s">
        <v>3644</v>
      </c>
    </row>
    <row r="474" spans="1:6" x14ac:dyDescent="0.3">
      <c r="A474" s="26" t="s">
        <v>1673</v>
      </c>
      <c r="B474" t="s">
        <v>1674</v>
      </c>
      <c r="C474">
        <v>10</v>
      </c>
      <c r="D474">
        <v>40</v>
      </c>
      <c r="E474">
        <v>3</v>
      </c>
      <c r="F474" t="s">
        <v>3644</v>
      </c>
    </row>
    <row r="475" spans="1:6" x14ac:dyDescent="0.3">
      <c r="A475" s="26" t="s">
        <v>3598</v>
      </c>
      <c r="B475" t="s">
        <v>1309</v>
      </c>
      <c r="C475">
        <v>4</v>
      </c>
      <c r="D475">
        <v>45</v>
      </c>
      <c r="E475">
        <v>8</v>
      </c>
      <c r="F475" t="s">
        <v>3644</v>
      </c>
    </row>
    <row r="476" spans="1:6" x14ac:dyDescent="0.3">
      <c r="A476" s="26" t="s">
        <v>3599</v>
      </c>
      <c r="B476" t="s">
        <v>1224</v>
      </c>
      <c r="C476">
        <v>0</v>
      </c>
      <c r="D476">
        <v>40</v>
      </c>
      <c r="E476">
        <v>15</v>
      </c>
      <c r="F476" t="s">
        <v>3644</v>
      </c>
    </row>
    <row r="477" spans="1:6" x14ac:dyDescent="0.3">
      <c r="A477" s="26" t="s">
        <v>3600</v>
      </c>
      <c r="B477" t="s">
        <v>3601</v>
      </c>
      <c r="C477">
        <v>8</v>
      </c>
      <c r="D477">
        <v>38</v>
      </c>
      <c r="E477">
        <v>3</v>
      </c>
      <c r="F477" t="s">
        <v>3643</v>
      </c>
    </row>
    <row r="478" spans="1:6" x14ac:dyDescent="0.3">
      <c r="A478" s="26" t="s">
        <v>3602</v>
      </c>
      <c r="B478" t="s">
        <v>1231</v>
      </c>
      <c r="C478">
        <v>16</v>
      </c>
      <c r="D478">
        <v>33</v>
      </c>
      <c r="E478">
        <v>6</v>
      </c>
      <c r="F478" t="s">
        <v>3644</v>
      </c>
    </row>
    <row r="479" spans="1:6" x14ac:dyDescent="0.3">
      <c r="A479" s="26" t="s">
        <v>3603</v>
      </c>
      <c r="B479" t="s">
        <v>1294</v>
      </c>
      <c r="C479">
        <v>5</v>
      </c>
      <c r="D479">
        <v>31</v>
      </c>
      <c r="E479">
        <v>6</v>
      </c>
      <c r="F479" t="s">
        <v>3644</v>
      </c>
    </row>
    <row r="480" spans="1:6" x14ac:dyDescent="0.3">
      <c r="A480" s="26" t="s">
        <v>3604</v>
      </c>
      <c r="B480" t="s">
        <v>3605</v>
      </c>
      <c r="C480">
        <v>-8.5</v>
      </c>
      <c r="D480">
        <v>38</v>
      </c>
      <c r="E480">
        <v>3</v>
      </c>
      <c r="F480" t="s">
        <v>3643</v>
      </c>
    </row>
    <row r="481" spans="1:6" x14ac:dyDescent="0.3">
      <c r="A481" s="26" t="s">
        <v>3606</v>
      </c>
      <c r="B481" t="s">
        <v>1238</v>
      </c>
      <c r="C481">
        <v>0</v>
      </c>
      <c r="D481">
        <v>35</v>
      </c>
      <c r="E481">
        <v>19</v>
      </c>
      <c r="F481" t="s">
        <v>3644</v>
      </c>
    </row>
    <row r="482" spans="1:6" x14ac:dyDescent="0.3">
      <c r="A482" s="26" t="s">
        <v>3607</v>
      </c>
      <c r="B482" t="s">
        <v>3608</v>
      </c>
      <c r="C482">
        <v>4</v>
      </c>
      <c r="D482">
        <v>32</v>
      </c>
      <c r="E482">
        <v>49</v>
      </c>
      <c r="F482" t="s">
        <v>3643</v>
      </c>
    </row>
    <row r="483" spans="1:6" x14ac:dyDescent="0.3">
      <c r="A483" s="26" t="s">
        <v>3609</v>
      </c>
      <c r="B483" t="s">
        <v>3610</v>
      </c>
      <c r="C483">
        <v>0</v>
      </c>
      <c r="D483">
        <v>32</v>
      </c>
      <c r="E483">
        <v>13</v>
      </c>
      <c r="F483" t="s">
        <v>3643</v>
      </c>
    </row>
    <row r="484" spans="1:6" x14ac:dyDescent="0.3">
      <c r="A484" s="26" t="s">
        <v>3611</v>
      </c>
      <c r="B484" t="s">
        <v>3612</v>
      </c>
      <c r="C484">
        <v>4</v>
      </c>
      <c r="D484">
        <v>29</v>
      </c>
      <c r="E484">
        <v>4</v>
      </c>
      <c r="F484" t="s">
        <v>3643</v>
      </c>
    </row>
    <row r="485" spans="1:6" x14ac:dyDescent="0.3">
      <c r="A485" s="26" t="s">
        <v>3613</v>
      </c>
      <c r="B485" t="s">
        <v>3614</v>
      </c>
      <c r="C485">
        <v>3</v>
      </c>
      <c r="D485">
        <v>33</v>
      </c>
      <c r="E485">
        <v>21</v>
      </c>
      <c r="F485" t="s">
        <v>3643</v>
      </c>
    </row>
    <row r="486" spans="1:6" x14ac:dyDescent="0.3">
      <c r="A486" s="26" t="s">
        <v>3615</v>
      </c>
      <c r="B486" t="s">
        <v>3616</v>
      </c>
      <c r="C486">
        <v>3</v>
      </c>
      <c r="D486">
        <v>33</v>
      </c>
      <c r="E486">
        <v>15</v>
      </c>
      <c r="F486" t="s">
        <v>3643</v>
      </c>
    </row>
    <row r="487" spans="1:6" x14ac:dyDescent="0.3">
      <c r="A487" s="26" t="s">
        <v>3617</v>
      </c>
      <c r="B487" t="s">
        <v>3618</v>
      </c>
      <c r="C487">
        <v>1.8</v>
      </c>
      <c r="D487">
        <v>34.5</v>
      </c>
      <c r="E487">
        <v>5</v>
      </c>
      <c r="F487" t="s">
        <v>3643</v>
      </c>
    </row>
    <row r="488" spans="1:6" x14ac:dyDescent="0.3">
      <c r="A488" s="26" t="s">
        <v>3619</v>
      </c>
      <c r="B488" t="s">
        <v>3620</v>
      </c>
      <c r="C488">
        <v>6</v>
      </c>
      <c r="D488">
        <v>30</v>
      </c>
      <c r="E488">
        <v>12</v>
      </c>
      <c r="F488" t="s">
        <v>3643</v>
      </c>
    </row>
    <row r="489" spans="1:6" x14ac:dyDescent="0.3">
      <c r="A489" s="26" t="s">
        <v>3621</v>
      </c>
      <c r="B489" t="s">
        <v>1242</v>
      </c>
      <c r="C489">
        <v>0</v>
      </c>
      <c r="D489">
        <v>33</v>
      </c>
      <c r="E489">
        <v>8</v>
      </c>
      <c r="F489" t="s">
        <v>3644</v>
      </c>
    </row>
    <row r="490" spans="1:6" x14ac:dyDescent="0.3">
      <c r="A490" s="26" t="s">
        <v>3622</v>
      </c>
      <c r="B490" t="s">
        <v>3623</v>
      </c>
      <c r="C490">
        <v>0</v>
      </c>
      <c r="D490">
        <v>35</v>
      </c>
      <c r="E490">
        <v>73</v>
      </c>
      <c r="F490" t="s">
        <v>3643</v>
      </c>
    </row>
    <row r="491" spans="1:6" x14ac:dyDescent="0.3">
      <c r="A491" s="26" t="s">
        <v>3624</v>
      </c>
      <c r="B491" t="s">
        <v>3625</v>
      </c>
      <c r="C491">
        <v>3</v>
      </c>
      <c r="D491">
        <v>29.5</v>
      </c>
      <c r="E491">
        <v>5</v>
      </c>
      <c r="F491" t="s">
        <v>3643</v>
      </c>
    </row>
    <row r="492" spans="1:6" x14ac:dyDescent="0.3">
      <c r="A492" s="26" t="s">
        <v>1675</v>
      </c>
      <c r="B492" t="s">
        <v>1676</v>
      </c>
      <c r="C492">
        <v>-1</v>
      </c>
      <c r="D492">
        <v>35</v>
      </c>
      <c r="E492">
        <v>28</v>
      </c>
      <c r="F492" t="s">
        <v>3644</v>
      </c>
    </row>
    <row r="493" spans="1:6" x14ac:dyDescent="0.3">
      <c r="A493" s="26" t="s">
        <v>1677</v>
      </c>
      <c r="B493" t="s">
        <v>1393</v>
      </c>
      <c r="C493">
        <v>7.5</v>
      </c>
      <c r="D493">
        <v>40</v>
      </c>
      <c r="E493">
        <v>25</v>
      </c>
      <c r="F493" t="s">
        <v>3644</v>
      </c>
    </row>
    <row r="494" spans="1:6" x14ac:dyDescent="0.3">
      <c r="A494" s="26" t="s">
        <v>1678</v>
      </c>
      <c r="B494" t="s">
        <v>1679</v>
      </c>
      <c r="C494">
        <v>2.5</v>
      </c>
      <c r="D494">
        <v>35</v>
      </c>
      <c r="E494">
        <v>32</v>
      </c>
      <c r="F494" t="s">
        <v>3644</v>
      </c>
    </row>
    <row r="495" spans="1:6" x14ac:dyDescent="0.3">
      <c r="A495" s="26" t="s">
        <v>3626</v>
      </c>
      <c r="B495" t="s">
        <v>3627</v>
      </c>
      <c r="C495">
        <v>7</v>
      </c>
      <c r="D495">
        <v>37</v>
      </c>
      <c r="E495">
        <v>48</v>
      </c>
      <c r="F495" t="s">
        <v>3643</v>
      </c>
    </row>
    <row r="496" spans="1:6" x14ac:dyDescent="0.3">
      <c r="A496" s="26" t="s">
        <v>3628</v>
      </c>
      <c r="B496" t="s">
        <v>1679</v>
      </c>
      <c r="C496">
        <v>0.5</v>
      </c>
      <c r="D496">
        <v>36</v>
      </c>
      <c r="E496">
        <v>42</v>
      </c>
      <c r="F496" t="s">
        <v>3644</v>
      </c>
    </row>
    <row r="497" spans="1:6" x14ac:dyDescent="0.3">
      <c r="A497" s="26" t="s">
        <v>3629</v>
      </c>
      <c r="B497" t="s">
        <v>3630</v>
      </c>
      <c r="C497">
        <v>5</v>
      </c>
      <c r="D497">
        <v>31</v>
      </c>
      <c r="E497">
        <v>6</v>
      </c>
      <c r="F497" t="s">
        <v>3643</v>
      </c>
    </row>
    <row r="498" spans="1:6" x14ac:dyDescent="0.3">
      <c r="A498" s="26" t="s">
        <v>1680</v>
      </c>
      <c r="B498" t="s">
        <v>1681</v>
      </c>
      <c r="C498">
        <v>0</v>
      </c>
      <c r="D498">
        <v>36</v>
      </c>
      <c r="E498">
        <v>11</v>
      </c>
      <c r="F498" t="s">
        <v>3644</v>
      </c>
    </row>
    <row r="499" spans="1:6" x14ac:dyDescent="0.3">
      <c r="A499" s="26" t="s">
        <v>3631</v>
      </c>
      <c r="B499" t="s">
        <v>3632</v>
      </c>
      <c r="C499">
        <v>0</v>
      </c>
      <c r="D499">
        <v>36</v>
      </c>
      <c r="E499">
        <v>5</v>
      </c>
      <c r="F499" t="s">
        <v>3643</v>
      </c>
    </row>
    <row r="500" spans="1:6" x14ac:dyDescent="0.3">
      <c r="A500" s="26" t="s">
        <v>1682</v>
      </c>
      <c r="B500" t="s">
        <v>1396</v>
      </c>
      <c r="C500">
        <v>15</v>
      </c>
      <c r="D500">
        <v>30</v>
      </c>
      <c r="E500">
        <v>4</v>
      </c>
      <c r="F500" t="s">
        <v>3644</v>
      </c>
    </row>
    <row r="501" spans="1:6" x14ac:dyDescent="0.3">
      <c r="A501" s="26" t="s">
        <v>3633</v>
      </c>
      <c r="B501" t="s">
        <v>1244</v>
      </c>
      <c r="C501">
        <v>0</v>
      </c>
      <c r="D501">
        <v>33.5</v>
      </c>
      <c r="E501">
        <v>72</v>
      </c>
      <c r="F501" t="s">
        <v>3644</v>
      </c>
    </row>
    <row r="502" spans="1:6" x14ac:dyDescent="0.3">
      <c r="A502" s="26" t="s">
        <v>3634</v>
      </c>
      <c r="B502" t="s">
        <v>3635</v>
      </c>
      <c r="C502">
        <v>1.5</v>
      </c>
      <c r="D502">
        <v>28</v>
      </c>
      <c r="E502">
        <v>4</v>
      </c>
      <c r="F502" t="s">
        <v>3643</v>
      </c>
    </row>
    <row r="503" spans="1:6" x14ac:dyDescent="0.3">
      <c r="A503" s="26" t="s">
        <v>1683</v>
      </c>
      <c r="B503" t="s">
        <v>1684</v>
      </c>
      <c r="C503">
        <v>0</v>
      </c>
      <c r="D503">
        <v>30</v>
      </c>
      <c r="E503">
        <v>3</v>
      </c>
      <c r="F503" t="s">
        <v>3644</v>
      </c>
    </row>
    <row r="504" spans="1:6" x14ac:dyDescent="0.3">
      <c r="A504" s="26" t="s">
        <v>3636</v>
      </c>
      <c r="B504" t="s">
        <v>1246</v>
      </c>
      <c r="C504">
        <v>4.4000000000000004</v>
      </c>
      <c r="D504">
        <v>37</v>
      </c>
      <c r="E504">
        <v>103</v>
      </c>
      <c r="F504" t="s">
        <v>3644</v>
      </c>
    </row>
    <row r="505" spans="1:6" x14ac:dyDescent="0.3">
      <c r="A505" s="26" t="s">
        <v>3637</v>
      </c>
      <c r="B505" t="s">
        <v>1247</v>
      </c>
      <c r="C505">
        <v>8</v>
      </c>
      <c r="D505">
        <v>36</v>
      </c>
      <c r="E505">
        <v>21</v>
      </c>
      <c r="F505" t="s">
        <v>3644</v>
      </c>
    </row>
    <row r="506" spans="1:6" x14ac:dyDescent="0.3">
      <c r="A506" s="26" t="s">
        <v>3638</v>
      </c>
      <c r="B506" t="s">
        <v>3639</v>
      </c>
      <c r="C506">
        <v>12.5</v>
      </c>
      <c r="D506">
        <v>41</v>
      </c>
      <c r="E506">
        <v>3</v>
      </c>
      <c r="F506" t="s">
        <v>3643</v>
      </c>
    </row>
    <row r="507" spans="1:6" x14ac:dyDescent="0.3">
      <c r="A507" s="26" t="s">
        <v>1685</v>
      </c>
      <c r="B507" t="s">
        <v>1397</v>
      </c>
      <c r="C507">
        <v>5</v>
      </c>
      <c r="D507">
        <v>35</v>
      </c>
      <c r="E507">
        <v>3</v>
      </c>
      <c r="F507" t="s">
        <v>3644</v>
      </c>
    </row>
    <row r="508" spans="1:6" x14ac:dyDescent="0.3">
      <c r="A508" s="26" t="s">
        <v>1686</v>
      </c>
      <c r="B508" t="s">
        <v>1398</v>
      </c>
      <c r="C508">
        <v>0</v>
      </c>
      <c r="D508">
        <v>30</v>
      </c>
      <c r="E508">
        <v>3</v>
      </c>
      <c r="F508" t="s">
        <v>3644</v>
      </c>
    </row>
    <row r="509" spans="1:6" x14ac:dyDescent="0.3">
      <c r="A509" s="26" t="s">
        <v>1687</v>
      </c>
      <c r="B509" t="s">
        <v>1688</v>
      </c>
      <c r="C509">
        <v>0</v>
      </c>
      <c r="D509">
        <v>30</v>
      </c>
      <c r="E509">
        <v>5</v>
      </c>
      <c r="F509" t="s">
        <v>3644</v>
      </c>
    </row>
    <row r="510" spans="1:6" x14ac:dyDescent="0.3">
      <c r="A510" s="26" t="s">
        <v>3640</v>
      </c>
      <c r="B510" t="s">
        <v>3641</v>
      </c>
      <c r="C510">
        <v>4</v>
      </c>
      <c r="D510">
        <v>35</v>
      </c>
      <c r="E510">
        <v>8</v>
      </c>
      <c r="F510" t="s">
        <v>3643</v>
      </c>
    </row>
    <row r="511" spans="1:6" x14ac:dyDescent="0.3">
      <c r="A511" s="26" t="s">
        <v>1689</v>
      </c>
      <c r="B511" t="s">
        <v>1399</v>
      </c>
      <c r="C511">
        <v>2.5</v>
      </c>
      <c r="D511">
        <v>32.200000000000003</v>
      </c>
      <c r="E511">
        <v>9</v>
      </c>
      <c r="F511" t="s">
        <v>3644</v>
      </c>
    </row>
  </sheetData>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0BB357-1C66-4405-AD3D-7DC6B9EE87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 Me</vt:lpstr>
      <vt:lpstr>Genomes and temp DB</vt:lpstr>
      <vt:lpstr>Temperature of growth model</vt:lpstr>
      <vt:lpstr>References</vt:lpstr>
      <vt:lpstr>Togashi complete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2025-03-03T09:51:29Z</dcterms:created>
  <dcterms:modified xsi:type="dcterms:W3CDTF">2025-03-18T06:13:54Z</dcterms:modified>
</cp:coreProperties>
</file>